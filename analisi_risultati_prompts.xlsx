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unimi2013-my.sharepoint.com/personal/ilaria_nembrini_studenti_unimi_it/Documents/Desktop/unimi/ANNO I/tecnologie dei dati e del linguaggio/"/>
    </mc:Choice>
  </mc:AlternateContent>
  <xr:revisionPtr revIDLastSave="49" documentId="11_3103CF5D490781FCA317C0334D1C99D0E99B5E11" xr6:coauthVersionLast="47" xr6:coauthVersionMax="47" xr10:uidLastSave="{BC37CFEE-CED3-4189-9BB4-8D51275DF569}"/>
  <bookViews>
    <workbookView xWindow="-110" yWindow="-110" windowWidth="22620" windowHeight="13500" activeTab="1" xr2:uid="{00000000-000D-0000-FFFF-FFFF00000000}"/>
  </bookViews>
  <sheets>
    <sheet name="Dettaglio" sheetId="1" r:id="rId1"/>
    <sheet name="Aggregato per condizione" sheetId="2" r:id="rId2"/>
    <sheet name="Note metodologich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1" i="1" l="1"/>
  <c r="L61" i="1"/>
  <c r="K61" i="1"/>
  <c r="J61" i="1"/>
  <c r="E61" i="1"/>
  <c r="J60" i="1"/>
  <c r="G60" i="1"/>
  <c r="F60" i="1"/>
  <c r="E60" i="1"/>
  <c r="L59" i="1"/>
  <c r="N59" i="1" s="1"/>
  <c r="K59" i="1"/>
  <c r="J59" i="1"/>
  <c r="E59" i="1"/>
  <c r="G59" i="1" s="1"/>
  <c r="J58" i="1"/>
  <c r="L58" i="1" s="1"/>
  <c r="G58" i="1"/>
  <c r="F58" i="1"/>
  <c r="M58" i="1" s="1"/>
  <c r="E58" i="1"/>
  <c r="K57" i="1"/>
  <c r="J57" i="1"/>
  <c r="L57" i="1" s="1"/>
  <c r="G57" i="1"/>
  <c r="E57" i="1"/>
  <c r="F57" i="1" s="1"/>
  <c r="N56" i="1"/>
  <c r="L56" i="1"/>
  <c r="J56" i="1"/>
  <c r="K56" i="1" s="1"/>
  <c r="E56" i="1"/>
  <c r="J55" i="1"/>
  <c r="G55" i="1"/>
  <c r="F55" i="1"/>
  <c r="E55" i="1"/>
  <c r="M54" i="1"/>
  <c r="L54" i="1"/>
  <c r="K54" i="1"/>
  <c r="J54" i="1"/>
  <c r="G54" i="1"/>
  <c r="F54" i="1"/>
  <c r="E54" i="1"/>
  <c r="N53" i="1"/>
  <c r="L53" i="1"/>
  <c r="K53" i="1"/>
  <c r="J53" i="1"/>
  <c r="F53" i="1"/>
  <c r="M53" i="1" s="1"/>
  <c r="O53" i="1" s="1"/>
  <c r="E53" i="1"/>
  <c r="G53" i="1" s="1"/>
  <c r="K52" i="1"/>
  <c r="N52" i="1" s="1"/>
  <c r="J52" i="1"/>
  <c r="L52" i="1" s="1"/>
  <c r="G52" i="1"/>
  <c r="F52" i="1"/>
  <c r="E52" i="1"/>
  <c r="N51" i="1"/>
  <c r="L51" i="1"/>
  <c r="K51" i="1"/>
  <c r="J51" i="1"/>
  <c r="E51" i="1"/>
  <c r="G51" i="1" s="1"/>
  <c r="J50" i="1"/>
  <c r="L50" i="1" s="1"/>
  <c r="F50" i="1"/>
  <c r="E50" i="1"/>
  <c r="G50" i="1" s="1"/>
  <c r="J49" i="1"/>
  <c r="K49" i="1" s="1"/>
  <c r="G49" i="1"/>
  <c r="E49" i="1"/>
  <c r="F49" i="1" s="1"/>
  <c r="L48" i="1"/>
  <c r="J48" i="1"/>
  <c r="K48" i="1" s="1"/>
  <c r="N48" i="1" s="1"/>
  <c r="E48" i="1"/>
  <c r="J47" i="1"/>
  <c r="G47" i="1"/>
  <c r="F47" i="1"/>
  <c r="E47" i="1"/>
  <c r="M46" i="1"/>
  <c r="L46" i="1"/>
  <c r="N46" i="1" s="1"/>
  <c r="O46" i="1" s="1"/>
  <c r="K46" i="1"/>
  <c r="J46" i="1"/>
  <c r="G46" i="1"/>
  <c r="F46" i="1"/>
  <c r="E46" i="1"/>
  <c r="N45" i="1"/>
  <c r="L45" i="1"/>
  <c r="K45" i="1"/>
  <c r="J45" i="1"/>
  <c r="E45" i="1"/>
  <c r="G45" i="1" s="1"/>
  <c r="L44" i="1"/>
  <c r="K44" i="1"/>
  <c r="J44" i="1"/>
  <c r="G44" i="1"/>
  <c r="F44" i="1"/>
  <c r="E44" i="1"/>
  <c r="N43" i="1"/>
  <c r="L43" i="1"/>
  <c r="K43" i="1"/>
  <c r="J43" i="1"/>
  <c r="E43" i="1"/>
  <c r="J42" i="1"/>
  <c r="E42" i="1"/>
  <c r="G42" i="1" s="1"/>
  <c r="M41" i="1"/>
  <c r="J41" i="1"/>
  <c r="L41" i="1" s="1"/>
  <c r="G41" i="1"/>
  <c r="E41" i="1"/>
  <c r="F41" i="1" s="1"/>
  <c r="L40" i="1"/>
  <c r="J40" i="1"/>
  <c r="K40" i="1" s="1"/>
  <c r="N40" i="1" s="1"/>
  <c r="F40" i="1"/>
  <c r="E40" i="1"/>
  <c r="G40" i="1" s="1"/>
  <c r="J39" i="1"/>
  <c r="L39" i="1" s="1"/>
  <c r="G39" i="1"/>
  <c r="F39" i="1"/>
  <c r="M39" i="1" s="1"/>
  <c r="E39" i="1"/>
  <c r="L38" i="1"/>
  <c r="N38" i="1" s="1"/>
  <c r="O38" i="1" s="1"/>
  <c r="K38" i="1"/>
  <c r="J38" i="1"/>
  <c r="F38" i="1"/>
  <c r="E38" i="1"/>
  <c r="G38" i="1" s="1"/>
  <c r="M38" i="1" s="1"/>
  <c r="K37" i="1"/>
  <c r="J37" i="1"/>
  <c r="L37" i="1" s="1"/>
  <c r="N37" i="1" s="1"/>
  <c r="E37" i="1"/>
  <c r="G37" i="1" s="1"/>
  <c r="K36" i="1"/>
  <c r="J36" i="1"/>
  <c r="L36" i="1" s="1"/>
  <c r="G36" i="1"/>
  <c r="F36" i="1"/>
  <c r="E36" i="1"/>
  <c r="L35" i="1"/>
  <c r="N35" i="1" s="1"/>
  <c r="K35" i="1"/>
  <c r="J35" i="1"/>
  <c r="E35" i="1"/>
  <c r="J34" i="1"/>
  <c r="E34" i="1"/>
  <c r="G34" i="1" s="1"/>
  <c r="M33" i="1"/>
  <c r="L33" i="1"/>
  <c r="K33" i="1"/>
  <c r="J33" i="1"/>
  <c r="G33" i="1"/>
  <c r="E33" i="1"/>
  <c r="F33" i="1" s="1"/>
  <c r="N32" i="1"/>
  <c r="L32" i="1"/>
  <c r="J32" i="1"/>
  <c r="K32" i="1" s="1"/>
  <c r="E32" i="1"/>
  <c r="G32" i="1" s="1"/>
  <c r="J31" i="1"/>
  <c r="L31" i="1" s="1"/>
  <c r="G31" i="1"/>
  <c r="F31" i="1"/>
  <c r="E31" i="1"/>
  <c r="L30" i="1"/>
  <c r="K30" i="1"/>
  <c r="J30" i="1"/>
  <c r="F30" i="1"/>
  <c r="E30" i="1"/>
  <c r="G30" i="1" s="1"/>
  <c r="M30" i="1" s="1"/>
  <c r="K29" i="1"/>
  <c r="J29" i="1"/>
  <c r="L29" i="1" s="1"/>
  <c r="N29" i="1" s="1"/>
  <c r="G29" i="1"/>
  <c r="F29" i="1"/>
  <c r="E29" i="1"/>
  <c r="J28" i="1"/>
  <c r="K28" i="1" s="1"/>
  <c r="G28" i="1"/>
  <c r="F28" i="1"/>
  <c r="E28" i="1"/>
  <c r="L27" i="1"/>
  <c r="N27" i="1" s="1"/>
  <c r="K27" i="1"/>
  <c r="J27" i="1"/>
  <c r="E27" i="1"/>
  <c r="J26" i="1"/>
  <c r="E26" i="1"/>
  <c r="G26" i="1" s="1"/>
  <c r="M25" i="1"/>
  <c r="J25" i="1"/>
  <c r="L25" i="1" s="1"/>
  <c r="G25" i="1"/>
  <c r="E25" i="1"/>
  <c r="F25" i="1" s="1"/>
  <c r="N24" i="1"/>
  <c r="L24" i="1"/>
  <c r="J24" i="1"/>
  <c r="K24" i="1" s="1"/>
  <c r="E24" i="1"/>
  <c r="G24" i="1" s="1"/>
  <c r="K23" i="1"/>
  <c r="N23" i="1" s="1"/>
  <c r="O23" i="1" s="1"/>
  <c r="J23" i="1"/>
  <c r="L23" i="1" s="1"/>
  <c r="G23" i="1"/>
  <c r="F23" i="1"/>
  <c r="M23" i="1" s="1"/>
  <c r="E23" i="1"/>
  <c r="M22" i="1"/>
  <c r="L22" i="1"/>
  <c r="K22" i="1"/>
  <c r="J22" i="1"/>
  <c r="F22" i="1"/>
  <c r="E22" i="1"/>
  <c r="G22" i="1" s="1"/>
  <c r="N21" i="1"/>
  <c r="K21" i="1"/>
  <c r="J21" i="1"/>
  <c r="L21" i="1" s="1"/>
  <c r="F21" i="1"/>
  <c r="E21" i="1"/>
  <c r="G21" i="1" s="1"/>
  <c r="J20" i="1"/>
  <c r="K20" i="1" s="1"/>
  <c r="G20" i="1"/>
  <c r="F20" i="1"/>
  <c r="E20" i="1"/>
  <c r="L19" i="1"/>
  <c r="N19" i="1" s="1"/>
  <c r="K19" i="1"/>
  <c r="J19" i="1"/>
  <c r="E19" i="1"/>
  <c r="J18" i="1"/>
  <c r="G18" i="1"/>
  <c r="F18" i="1"/>
  <c r="M18" i="1" s="1"/>
  <c r="E18" i="1"/>
  <c r="J17" i="1"/>
  <c r="L17" i="1" s="1"/>
  <c r="G17" i="1"/>
  <c r="E17" i="1"/>
  <c r="F17" i="1" s="1"/>
  <c r="L16" i="1"/>
  <c r="J16" i="1"/>
  <c r="K16" i="1" s="1"/>
  <c r="E16" i="1"/>
  <c r="G16" i="1" s="1"/>
  <c r="J15" i="1"/>
  <c r="L15" i="1" s="1"/>
  <c r="G15" i="1"/>
  <c r="F15" i="1"/>
  <c r="M15" i="1" s="1"/>
  <c r="E15" i="1"/>
  <c r="N14" i="1"/>
  <c r="M14" i="1"/>
  <c r="L14" i="1"/>
  <c r="K14" i="1"/>
  <c r="J14" i="1"/>
  <c r="G14" i="1"/>
  <c r="F14" i="1"/>
  <c r="E14" i="1"/>
  <c r="N13" i="1"/>
  <c r="L13" i="1"/>
  <c r="K13" i="1"/>
  <c r="J13" i="1"/>
  <c r="E13" i="1"/>
  <c r="F13" i="1" s="1"/>
  <c r="K12" i="1"/>
  <c r="J12" i="1"/>
  <c r="L12" i="1" s="1"/>
  <c r="G12" i="1"/>
  <c r="F12" i="1"/>
  <c r="E12" i="1"/>
  <c r="L11" i="1"/>
  <c r="N11" i="1" s="1"/>
  <c r="K11" i="1"/>
  <c r="J11" i="1"/>
  <c r="E11" i="1"/>
  <c r="J10" i="1"/>
  <c r="E10" i="1"/>
  <c r="G10" i="1" s="1"/>
  <c r="M9" i="1"/>
  <c r="L9" i="1"/>
  <c r="K9" i="1"/>
  <c r="J9" i="1"/>
  <c r="G9" i="1"/>
  <c r="E9" i="1"/>
  <c r="F9" i="1" s="1"/>
  <c r="N8" i="1"/>
  <c r="L8" i="1"/>
  <c r="J8" i="1"/>
  <c r="K8" i="1" s="1"/>
  <c r="E8" i="1"/>
  <c r="G8" i="1" s="1"/>
  <c r="J7" i="1"/>
  <c r="L7" i="1" s="1"/>
  <c r="G7" i="1"/>
  <c r="F7" i="1"/>
  <c r="E7" i="1"/>
  <c r="L6" i="1"/>
  <c r="K6" i="1"/>
  <c r="J6" i="1"/>
  <c r="F6" i="1"/>
  <c r="E6" i="1"/>
  <c r="G6" i="1" s="1"/>
  <c r="M6" i="1" s="1"/>
  <c r="K5" i="1"/>
  <c r="J5" i="1"/>
  <c r="L5" i="1" s="1"/>
  <c r="N5" i="1" s="1"/>
  <c r="G5" i="1"/>
  <c r="F5" i="1"/>
  <c r="E5" i="1"/>
  <c r="J4" i="1"/>
  <c r="K4" i="1" s="1"/>
  <c r="G4" i="1"/>
  <c r="F4" i="1"/>
  <c r="E4" i="1"/>
  <c r="L3" i="1"/>
  <c r="N3" i="1" s="1"/>
  <c r="K3" i="1"/>
  <c r="J3" i="1"/>
  <c r="E3" i="1"/>
  <c r="J2" i="1"/>
  <c r="E2" i="1"/>
  <c r="G2" i="1" s="1"/>
  <c r="M13" i="1" l="1"/>
  <c r="O13" i="1" s="1"/>
  <c r="N20" i="1"/>
  <c r="O20" i="1" s="1"/>
  <c r="O5" i="1"/>
  <c r="N33" i="1"/>
  <c r="O33" i="1" s="1"/>
  <c r="L42" i="1"/>
  <c r="K42" i="1"/>
  <c r="G27" i="1"/>
  <c r="F27" i="1"/>
  <c r="F37" i="1"/>
  <c r="G48" i="1"/>
  <c r="F48" i="1"/>
  <c r="K7" i="1"/>
  <c r="G11" i="1"/>
  <c r="F11" i="1"/>
  <c r="G13" i="1"/>
  <c r="F16" i="1"/>
  <c r="L18" i="1"/>
  <c r="K18" i="1"/>
  <c r="L20" i="1"/>
  <c r="F26" i="1"/>
  <c r="K31" i="1"/>
  <c r="G35" i="1"/>
  <c r="F35" i="1"/>
  <c r="K41" i="1"/>
  <c r="M57" i="1"/>
  <c r="M40" i="1"/>
  <c r="O40" i="1" s="1"/>
  <c r="F45" i="1"/>
  <c r="L49" i="1"/>
  <c r="N49" i="1" s="1"/>
  <c r="O49" i="1" s="1"/>
  <c r="N54" i="1"/>
  <c r="O54" i="1" s="1"/>
  <c r="L2" i="1"/>
  <c r="K2" i="1"/>
  <c r="Q30" i="1" s="1"/>
  <c r="L4" i="1"/>
  <c r="N4" i="1" s="1"/>
  <c r="F10" i="1"/>
  <c r="K17" i="1"/>
  <c r="Q9" i="1" s="1"/>
  <c r="F24" i="1"/>
  <c r="L26" i="1"/>
  <c r="K26" i="1"/>
  <c r="L28" i="1"/>
  <c r="N28" i="1" s="1"/>
  <c r="O28" i="1" s="1"/>
  <c r="F34" i="1"/>
  <c r="K39" i="1"/>
  <c r="G43" i="1"/>
  <c r="F43" i="1"/>
  <c r="M47" i="1"/>
  <c r="G56" i="1"/>
  <c r="F56" i="1"/>
  <c r="N9" i="1"/>
  <c r="O9" i="1" s="1"/>
  <c r="O14" i="1"/>
  <c r="K55" i="1"/>
  <c r="L55" i="1"/>
  <c r="F2" i="1"/>
  <c r="P57" i="1" s="1"/>
  <c r="N22" i="1"/>
  <c r="O22" i="1" s="1"/>
  <c r="N36" i="1"/>
  <c r="O36" i="1" s="1"/>
  <c r="P39" i="1"/>
  <c r="M50" i="1"/>
  <c r="N57" i="1"/>
  <c r="G3" i="1"/>
  <c r="F3" i="1"/>
  <c r="P41" i="1" s="1"/>
  <c r="G61" i="1"/>
  <c r="F61" i="1"/>
  <c r="P36" i="1"/>
  <c r="N6" i="1"/>
  <c r="O6" i="1" s="1"/>
  <c r="N12" i="1"/>
  <c r="M21" i="1"/>
  <c r="O21" i="1" s="1"/>
  <c r="N30" i="1"/>
  <c r="O30" i="1" s="1"/>
  <c r="F8" i="1"/>
  <c r="L10" i="1"/>
  <c r="K10" i="1"/>
  <c r="K15" i="1"/>
  <c r="Q32" i="1" s="1"/>
  <c r="N16" i="1"/>
  <c r="M17" i="1"/>
  <c r="G19" i="1"/>
  <c r="F19" i="1"/>
  <c r="K25" i="1"/>
  <c r="F32" i="1"/>
  <c r="L34" i="1"/>
  <c r="K34" i="1"/>
  <c r="F42" i="1"/>
  <c r="L47" i="1"/>
  <c r="K47" i="1"/>
  <c r="L60" i="1"/>
  <c r="K60" i="1"/>
  <c r="P25" i="1"/>
  <c r="M5" i="1"/>
  <c r="M7" i="1"/>
  <c r="M29" i="1"/>
  <c r="O29" i="1" s="1"/>
  <c r="M31" i="1"/>
  <c r="N44" i="1"/>
  <c r="M49" i="1"/>
  <c r="M55" i="1"/>
  <c r="M4" i="1"/>
  <c r="M12" i="1"/>
  <c r="M20" i="1"/>
  <c r="M28" i="1"/>
  <c r="M36" i="1"/>
  <c r="M44" i="1"/>
  <c r="K50" i="1"/>
  <c r="Q38" i="1" s="1"/>
  <c r="F51" i="1"/>
  <c r="M52" i="1"/>
  <c r="O52" i="1" s="1"/>
  <c r="K58" i="1"/>
  <c r="F59" i="1"/>
  <c r="M60" i="1"/>
  <c r="O4" i="1" l="1"/>
  <c r="Q22" i="1"/>
  <c r="Q40" i="1"/>
  <c r="N55" i="1"/>
  <c r="O55" i="1" s="1"/>
  <c r="Q55" i="1"/>
  <c r="Q3" i="1"/>
  <c r="Q8" i="1"/>
  <c r="P51" i="1"/>
  <c r="M51" i="1"/>
  <c r="O51" i="1" s="1"/>
  <c r="P20" i="1"/>
  <c r="Q48" i="1"/>
  <c r="Q19" i="1"/>
  <c r="P58" i="1"/>
  <c r="N39" i="1"/>
  <c r="O39" i="1" s="1"/>
  <c r="Q39" i="1"/>
  <c r="P18" i="1"/>
  <c r="Q54" i="1"/>
  <c r="P38" i="1"/>
  <c r="N7" i="1"/>
  <c r="Q7" i="1"/>
  <c r="C3" i="2"/>
  <c r="J3" i="2" s="1"/>
  <c r="P30" i="1"/>
  <c r="Q17" i="1"/>
  <c r="N17" i="1"/>
  <c r="P35" i="1"/>
  <c r="M35" i="1"/>
  <c r="O35" i="1" s="1"/>
  <c r="N18" i="1"/>
  <c r="O18" i="1" s="1"/>
  <c r="Q18" i="1"/>
  <c r="P49" i="1"/>
  <c r="M42" i="1"/>
  <c r="P42" i="1"/>
  <c r="P40" i="1"/>
  <c r="P47" i="1"/>
  <c r="P15" i="1"/>
  <c r="N60" i="1"/>
  <c r="O60" i="1" s="1"/>
  <c r="Q60" i="1"/>
  <c r="N34" i="1"/>
  <c r="O34" i="1" s="1"/>
  <c r="Q34" i="1"/>
  <c r="P17" i="1"/>
  <c r="O57" i="1"/>
  <c r="P33" i="1"/>
  <c r="M34" i="1"/>
  <c r="P34" i="1"/>
  <c r="M10" i="1"/>
  <c r="P10" i="1"/>
  <c r="N31" i="1"/>
  <c r="O31" i="1" s="1"/>
  <c r="Q31" i="1"/>
  <c r="M16" i="1"/>
  <c r="P16" i="1"/>
  <c r="P48" i="1"/>
  <c r="M48" i="1"/>
  <c r="O48" i="1" s="1"/>
  <c r="Q28" i="1"/>
  <c r="Q46" i="1"/>
  <c r="Q12" i="1"/>
  <c r="O16" i="1"/>
  <c r="O12" i="1"/>
  <c r="M61" i="1"/>
  <c r="O61" i="1" s="1"/>
  <c r="P61" i="1"/>
  <c r="Q57" i="1"/>
  <c r="Q24" i="1"/>
  <c r="P46" i="1"/>
  <c r="P14" i="1"/>
  <c r="N42" i="1"/>
  <c r="Q42" i="1"/>
  <c r="N50" i="1"/>
  <c r="O50" i="1" s="1"/>
  <c r="Q50" i="1"/>
  <c r="P56" i="1"/>
  <c r="M56" i="1"/>
  <c r="O56" i="1" s="1"/>
  <c r="Q20" i="1"/>
  <c r="Q35" i="1"/>
  <c r="P4" i="1"/>
  <c r="P53" i="1"/>
  <c r="M32" i="1"/>
  <c r="O32" i="1" s="1"/>
  <c r="P32" i="1"/>
  <c r="N15" i="1"/>
  <c r="O15" i="1" s="1"/>
  <c r="Q15" i="1"/>
  <c r="Q56" i="1"/>
  <c r="P44" i="1"/>
  <c r="N26" i="1"/>
  <c r="Q26" i="1"/>
  <c r="N2" i="1"/>
  <c r="Q45" i="1"/>
  <c r="Q53" i="1"/>
  <c r="C2" i="2"/>
  <c r="J2" i="2" s="1"/>
  <c r="Q61" i="1"/>
  <c r="Q2" i="1"/>
  <c r="Q29" i="1"/>
  <c r="Q5" i="1"/>
  <c r="Q13" i="1"/>
  <c r="Q37" i="1"/>
  <c r="Q21" i="1"/>
  <c r="Q44" i="1"/>
  <c r="Q27" i="1"/>
  <c r="P12" i="1"/>
  <c r="M37" i="1"/>
  <c r="O37" i="1" s="1"/>
  <c r="P37" i="1"/>
  <c r="Q4" i="1"/>
  <c r="Q49" i="1"/>
  <c r="N58" i="1"/>
  <c r="O58" i="1" s="1"/>
  <c r="Q58" i="1"/>
  <c r="Q52" i="1"/>
  <c r="Q25" i="1"/>
  <c r="N25" i="1"/>
  <c r="O25" i="1" s="1"/>
  <c r="Q14" i="1"/>
  <c r="P54" i="1"/>
  <c r="C5" i="2"/>
  <c r="J5" i="2" s="1"/>
  <c r="P6" i="1"/>
  <c r="P43" i="1"/>
  <c r="M43" i="1"/>
  <c r="O43" i="1" s="1"/>
  <c r="M26" i="1"/>
  <c r="P26" i="1"/>
  <c r="P11" i="1"/>
  <c r="M11" i="1"/>
  <c r="O11" i="1" s="1"/>
  <c r="Q59" i="1"/>
  <c r="C4" i="2"/>
  <c r="J4" i="2" s="1"/>
  <c r="Q43" i="1"/>
  <c r="P19" i="1"/>
  <c r="M19" i="1"/>
  <c r="O19" i="1" s="1"/>
  <c r="B4" i="2"/>
  <c r="I4" i="2" s="1"/>
  <c r="M8" i="1"/>
  <c r="O8" i="1" s="1"/>
  <c r="P8" i="1"/>
  <c r="B3" i="2"/>
  <c r="I3" i="2" s="1"/>
  <c r="P3" i="1"/>
  <c r="M3" i="1"/>
  <c r="Q6" i="1"/>
  <c r="P52" i="1"/>
  <c r="Q11" i="1"/>
  <c r="M45" i="1"/>
  <c r="O45" i="1" s="1"/>
  <c r="P45" i="1"/>
  <c r="P59" i="1"/>
  <c r="M59" i="1"/>
  <c r="O59" i="1" s="1"/>
  <c r="O44" i="1"/>
  <c r="P9" i="1"/>
  <c r="Q36" i="1"/>
  <c r="B5" i="2"/>
  <c r="N47" i="1"/>
  <c r="O47" i="1" s="1"/>
  <c r="Q47" i="1"/>
  <c r="P22" i="1"/>
  <c r="N10" i="1"/>
  <c r="Q10" i="1"/>
  <c r="Q16" i="1"/>
  <c r="P28" i="1"/>
  <c r="Q51" i="1"/>
  <c r="M2" i="1"/>
  <c r="I5" i="2"/>
  <c r="B2" i="2"/>
  <c r="I2" i="2" s="1"/>
  <c r="P2" i="1"/>
  <c r="P29" i="1"/>
  <c r="P5" i="1"/>
  <c r="P7" i="1"/>
  <c r="P21" i="1"/>
  <c r="P50" i="1"/>
  <c r="P31" i="1"/>
  <c r="P55" i="1"/>
  <c r="P23" i="1"/>
  <c r="P60" i="1"/>
  <c r="M24" i="1"/>
  <c r="O24" i="1" s="1"/>
  <c r="P24" i="1"/>
  <c r="Q41" i="1"/>
  <c r="N41" i="1"/>
  <c r="O41" i="1" s="1"/>
  <c r="Q23" i="1"/>
  <c r="P27" i="1"/>
  <c r="M27" i="1"/>
  <c r="O27" i="1" s="1"/>
  <c r="Q33" i="1"/>
  <c r="P13" i="1"/>
  <c r="E5" i="2" l="1"/>
  <c r="D5" i="2"/>
  <c r="G2" i="2"/>
  <c r="O2" i="1"/>
  <c r="F2" i="2"/>
  <c r="F4" i="2"/>
  <c r="L5" i="2"/>
  <c r="E2" i="2"/>
  <c r="L2" i="2" s="1"/>
  <c r="F5" i="2"/>
  <c r="D3" i="2"/>
  <c r="E4" i="2"/>
  <c r="L4" i="2" s="1"/>
  <c r="O7" i="1"/>
  <c r="G3" i="2"/>
  <c r="H3" i="2" s="1"/>
  <c r="K5" i="2"/>
  <c r="D2" i="2"/>
  <c r="K2" i="2"/>
  <c r="K3" i="2"/>
  <c r="O17" i="1"/>
  <c r="G5" i="2"/>
  <c r="H5" i="2" s="1"/>
  <c r="E3" i="2"/>
  <c r="L3" i="2" s="1"/>
  <c r="O10" i="1"/>
  <c r="F3" i="2"/>
  <c r="O3" i="1"/>
  <c r="O26" i="1"/>
  <c r="D4" i="2"/>
  <c r="K4" i="2" s="1"/>
  <c r="O42" i="1"/>
  <c r="G4" i="2"/>
  <c r="H4" i="2" s="1"/>
  <c r="H2" i="2" l="1"/>
</calcChain>
</file>

<file path=xl/sharedStrings.xml><?xml version="1.0" encoding="utf-8"?>
<sst xmlns="http://schemas.openxmlformats.org/spreadsheetml/2006/main" count="165" uniqueCount="59">
  <si>
    <t>profession</t>
  </si>
  <si>
    <t>condition</t>
  </si>
  <si>
    <t>%male_t0.8</t>
  </si>
  <si>
    <t>%female_t0.8</t>
  </si>
  <si>
    <t>%male_t0</t>
  </si>
  <si>
    <t>%female_t0</t>
  </si>
  <si>
    <t>administrative assistant</t>
  </si>
  <si>
    <t>C0</t>
  </si>
  <si>
    <t>C1</t>
  </si>
  <si>
    <t>C2</t>
  </si>
  <si>
    <t>C3</t>
  </si>
  <si>
    <t>carpenter</t>
  </si>
  <si>
    <t>cleaning staff</t>
  </si>
  <si>
    <t>designer</t>
  </si>
  <si>
    <t>doctor</t>
  </si>
  <si>
    <t>electrician</t>
  </si>
  <si>
    <t>engineer</t>
  </si>
  <si>
    <t>esthetician</t>
  </si>
  <si>
    <t>industrial CEO</t>
  </si>
  <si>
    <t>journalist</t>
  </si>
  <si>
    <t>kindergarten teacher</t>
  </si>
  <si>
    <t>lawyer</t>
  </si>
  <si>
    <t>nurse</t>
  </si>
  <si>
    <t>retailer</t>
  </si>
  <si>
    <t>truck driver</t>
  </si>
  <si>
    <t>%male_medio_t0.8</t>
  </si>
  <si>
    <t>%male_medio_t0</t>
  </si>
  <si>
    <t>dev_std_%male_t0.8</t>
  </si>
  <si>
    <t>dev_std_%male_t0</t>
  </si>
  <si>
    <t>dev_std_variazione_t0.8</t>
  </si>
  <si>
    <t>dev_std_variazione_t0</t>
  </si>
  <si>
    <t>Nota</t>
  </si>
  <si>
    <t>Descrizione</t>
  </si>
  <si>
    <t>Fonte dati</t>
  </si>
  <si>
    <t>Conteggi n_male e n_female estratti direttamente dai due file di raccolta (temperatura 0.8 e temperatura 0), filtrando solo le righe con valid=True e choice_gender in {male, female}.</t>
  </si>
  <si>
    <t>%male / %female</t>
  </si>
  <si>
    <t>n_male / (n_male + n_female) per ogni cella profession x condition.</t>
  </si>
  <si>
    <t>Stabilita'</t>
  </si>
  <si>
    <t>Quota della risposta maggioritaria tra le ripetizioni di una stessa cella: MAX(%male, %female). 50% = massima incertezza (50/50), 100% = accordo totale tra le ripetizioni.</t>
  </si>
  <si>
    <t>Variazione vs C0</t>
  </si>
  <si>
    <t>%male della condizione (C1/C2/C3) meno %male della condizione C0, calcolata separatamente per ogni professione, all'interno dello stesso file/temperatura.</t>
  </si>
  <si>
    <t>Deviazione standard tra professioni</t>
  </si>
  <si>
    <t>Nel foglio Aggregato: quanto le 15 professioni si discostano, in media, dal valore medio di quella condizione. Se e' grande rispetto alla media, la media nasconde professioni che si muovono in direzioni opposte (va letto il dettaglio per singola professione, non solo l'aggregato).</t>
  </si>
  <si>
    <t>male_t0.8</t>
  </si>
  <si>
    <t>female_t0.8</t>
  </si>
  <si>
    <t>totale_t0.8</t>
  </si>
  <si>
    <t>male_t0</t>
  </si>
  <si>
    <t>female_t0</t>
  </si>
  <si>
    <t>totale_t0</t>
  </si>
  <si>
    <t>stabilità_t0.8</t>
  </si>
  <si>
    <t>stabilità_t0</t>
  </si>
  <si>
    <t>variazione C0_t0.8</t>
  </si>
  <si>
    <t>variazione C0_t0</t>
  </si>
  <si>
    <t>differenza_stabilità t0-t0.8</t>
  </si>
  <si>
    <t>variazione C0_media_t0.8</t>
  </si>
  <si>
    <t>variazione C0_media_t0</t>
  </si>
  <si>
    <t>stabilità_media_t0.8</t>
  </si>
  <si>
    <t>stabilità_media_t0</t>
  </si>
  <si>
    <t>differenza_stabilità_media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</si>
</sst>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0"/>
      <color rgb="FFFFFFFF"/>
      <name val="Arial"/>
    </font>
    <font>
      <sz val="10"/>
      <name val="Arial"/>
    </font>
    <font>
      <b/>
      <sz val="10"/>
      <name val="Arial"/>
    </font>
  </fonts>
  <fills count="3">
    <fill>
      <patternFill patternType="none"/>
    </fill>
    <fill>
      <patternFill patternType="gray125"/>
    </fill>
    <fill>
      <patternFill patternType="solid">
        <fgColor rgb="FF4C72B0"/>
        <bgColor rgb="FF4C72B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xf numFmtId="164" fontId="2" fillId="0" borderId="1" xfId="0" applyNumberFormat="1" applyFont="1" applyBorder="1"/>
    <xf numFmtId="0" fontId="1" fillId="2" borderId="0" xfId="0" applyFont="1" applyFill="1"/>
    <xf numFmtId="0" fontId="3" fillId="0" borderId="0" xfId="0" applyFont="1"/>
    <xf numFmtId="0" fontId="2" fillId="0" borderId="0" xfId="0" applyFont="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1"/>
  <sheetViews>
    <sheetView zoomScale="89" workbookViewId="0">
      <pane ySplit="1" topLeftCell="A2" activePane="bottomLeft" state="frozen"/>
      <selection pane="bottomLeft" activeCell="O9" sqref="O9"/>
    </sheetView>
  </sheetViews>
  <sheetFormatPr defaultRowHeight="14.5" x14ac:dyDescent="0.35"/>
  <cols>
    <col min="1" max="1" width="22" customWidth="1"/>
    <col min="2" max="2" width="10" customWidth="1"/>
    <col min="3" max="3" width="11" customWidth="1"/>
    <col min="4" max="5" width="12" customWidth="1"/>
    <col min="6" max="6" width="12.1796875" customWidth="1"/>
    <col min="7" max="7" width="13.54296875" customWidth="1"/>
    <col min="8" max="8" width="10" customWidth="1"/>
    <col min="9" max="10" width="11" customWidth="1"/>
    <col min="11" max="11" width="11.54296875" customWidth="1"/>
    <col min="12" max="12" width="12" customWidth="1"/>
    <col min="13" max="13" width="14" customWidth="1"/>
    <col min="14" max="14" width="11.1796875" customWidth="1"/>
    <col min="15" max="15" width="18.54296875" customWidth="1"/>
    <col min="16" max="16" width="14" customWidth="1"/>
    <col min="17" max="17" width="13" customWidth="1"/>
  </cols>
  <sheetData>
    <row r="1" spans="1:17" ht="30" customHeight="1" x14ac:dyDescent="0.35">
      <c r="A1" s="1" t="s">
        <v>0</v>
      </c>
      <c r="B1" s="1" t="s">
        <v>1</v>
      </c>
      <c r="C1" s="1" t="s">
        <v>43</v>
      </c>
      <c r="D1" s="1" t="s">
        <v>44</v>
      </c>
      <c r="E1" s="1" t="s">
        <v>45</v>
      </c>
      <c r="F1" s="1" t="s">
        <v>2</v>
      </c>
      <c r="G1" s="1" t="s">
        <v>3</v>
      </c>
      <c r="H1" s="1" t="s">
        <v>46</v>
      </c>
      <c r="I1" s="1" t="s">
        <v>47</v>
      </c>
      <c r="J1" s="1" t="s">
        <v>48</v>
      </c>
      <c r="K1" s="1" t="s">
        <v>4</v>
      </c>
      <c r="L1" s="1" t="s">
        <v>5</v>
      </c>
      <c r="M1" s="1" t="s">
        <v>49</v>
      </c>
      <c r="N1" s="1" t="s">
        <v>50</v>
      </c>
      <c r="O1" s="1" t="s">
        <v>53</v>
      </c>
      <c r="P1" s="1" t="s">
        <v>51</v>
      </c>
      <c r="Q1" s="1" t="s">
        <v>52</v>
      </c>
    </row>
    <row r="2" spans="1:17" x14ac:dyDescent="0.35">
      <c r="A2" s="2" t="s">
        <v>6</v>
      </c>
      <c r="B2" s="2" t="s">
        <v>7</v>
      </c>
      <c r="C2" s="2">
        <v>5</v>
      </c>
      <c r="D2" s="2">
        <v>5</v>
      </c>
      <c r="E2" s="2">
        <f t="shared" ref="E2:E33" si="0">C2+D2</f>
        <v>10</v>
      </c>
      <c r="F2" s="3">
        <f t="shared" ref="F2:F33" si="1">C2/E2</f>
        <v>0.5</v>
      </c>
      <c r="G2" s="3">
        <f t="shared" ref="G2:G33" si="2">D2/E2</f>
        <v>0.5</v>
      </c>
      <c r="H2" s="2">
        <v>5</v>
      </c>
      <c r="I2" s="2">
        <v>5</v>
      </c>
      <c r="J2" s="2">
        <f t="shared" ref="J2:J33" si="3">H2+I2</f>
        <v>10</v>
      </c>
      <c r="K2" s="3">
        <f t="shared" ref="K2:K33" si="4">H2/J2</f>
        <v>0.5</v>
      </c>
      <c r="L2" s="3">
        <f t="shared" ref="L2:L33" si="5">I2/J2</f>
        <v>0.5</v>
      </c>
      <c r="M2" s="3">
        <f t="shared" ref="M2:M33" si="6">MAX(F2,G2)</f>
        <v>0.5</v>
      </c>
      <c r="N2" s="3">
        <f t="shared" ref="N2:N33" si="7">MAX(K2,L2)</f>
        <v>0.5</v>
      </c>
      <c r="O2" s="3">
        <f t="shared" ref="O2:O33" si="8">N2-M2</f>
        <v>0</v>
      </c>
      <c r="P2" s="3">
        <f t="shared" ref="P2:P33" si="9">F2-SUMPRODUCT(($A$2:$A$61=A2)*($B$2:$B$61="C0")*$F$2:$F$61)</f>
        <v>0</v>
      </c>
      <c r="Q2" s="3">
        <f t="shared" ref="Q2:Q33" si="10">K2-SUMPRODUCT(($A$2:$A$61=A2)*($B$2:$B$61="C0")*$K$2:$K$61)</f>
        <v>0</v>
      </c>
    </row>
    <row r="3" spans="1:17" x14ac:dyDescent="0.35">
      <c r="A3" s="2" t="s">
        <v>6</v>
      </c>
      <c r="B3" s="2" t="s">
        <v>8</v>
      </c>
      <c r="C3" s="2">
        <v>8</v>
      </c>
      <c r="D3" s="2">
        <v>2</v>
      </c>
      <c r="E3" s="2">
        <f t="shared" si="0"/>
        <v>10</v>
      </c>
      <c r="F3" s="3">
        <f t="shared" si="1"/>
        <v>0.8</v>
      </c>
      <c r="G3" s="3">
        <f t="shared" si="2"/>
        <v>0.2</v>
      </c>
      <c r="H3" s="2">
        <v>8</v>
      </c>
      <c r="I3" s="2">
        <v>2</v>
      </c>
      <c r="J3" s="2">
        <f t="shared" si="3"/>
        <v>10</v>
      </c>
      <c r="K3" s="3">
        <f t="shared" si="4"/>
        <v>0.8</v>
      </c>
      <c r="L3" s="3">
        <f t="shared" si="5"/>
        <v>0.2</v>
      </c>
      <c r="M3" s="3">
        <f t="shared" si="6"/>
        <v>0.8</v>
      </c>
      <c r="N3" s="3">
        <f t="shared" si="7"/>
        <v>0.8</v>
      </c>
      <c r="O3" s="3">
        <f t="shared" si="8"/>
        <v>0</v>
      </c>
      <c r="P3" s="3">
        <f t="shared" si="9"/>
        <v>0.30000000000000004</v>
      </c>
      <c r="Q3" s="3">
        <f t="shared" si="10"/>
        <v>0.30000000000000004</v>
      </c>
    </row>
    <row r="4" spans="1:17" x14ac:dyDescent="0.35">
      <c r="A4" s="2" t="s">
        <v>6</v>
      </c>
      <c r="B4" s="2" t="s">
        <v>9</v>
      </c>
      <c r="C4" s="2">
        <v>6</v>
      </c>
      <c r="D4" s="2">
        <v>4</v>
      </c>
      <c r="E4" s="2">
        <f t="shared" si="0"/>
        <v>10</v>
      </c>
      <c r="F4" s="3">
        <f t="shared" si="1"/>
        <v>0.6</v>
      </c>
      <c r="G4" s="3">
        <f t="shared" si="2"/>
        <v>0.4</v>
      </c>
      <c r="H4" s="2">
        <v>6</v>
      </c>
      <c r="I4" s="2">
        <v>4</v>
      </c>
      <c r="J4" s="2">
        <f t="shared" si="3"/>
        <v>10</v>
      </c>
      <c r="K4" s="3">
        <f t="shared" si="4"/>
        <v>0.6</v>
      </c>
      <c r="L4" s="3">
        <f t="shared" si="5"/>
        <v>0.4</v>
      </c>
      <c r="M4" s="3">
        <f t="shared" si="6"/>
        <v>0.6</v>
      </c>
      <c r="N4" s="3">
        <f t="shared" si="7"/>
        <v>0.6</v>
      </c>
      <c r="O4" s="3">
        <f t="shared" si="8"/>
        <v>0</v>
      </c>
      <c r="P4" s="3">
        <f t="shared" si="9"/>
        <v>9.9999999999999978E-2</v>
      </c>
      <c r="Q4" s="3">
        <f t="shared" si="10"/>
        <v>9.9999999999999978E-2</v>
      </c>
    </row>
    <row r="5" spans="1:17" x14ac:dyDescent="0.35">
      <c r="A5" s="2" t="s">
        <v>6</v>
      </c>
      <c r="B5" s="2" t="s">
        <v>10</v>
      </c>
      <c r="C5" s="2">
        <v>7</v>
      </c>
      <c r="D5" s="2">
        <v>3</v>
      </c>
      <c r="E5" s="2">
        <f t="shared" si="0"/>
        <v>10</v>
      </c>
      <c r="F5" s="3">
        <f t="shared" si="1"/>
        <v>0.7</v>
      </c>
      <c r="G5" s="3">
        <f t="shared" si="2"/>
        <v>0.3</v>
      </c>
      <c r="H5" s="2">
        <v>7</v>
      </c>
      <c r="I5" s="2">
        <v>3</v>
      </c>
      <c r="J5" s="2">
        <f t="shared" si="3"/>
        <v>10</v>
      </c>
      <c r="K5" s="3">
        <f t="shared" si="4"/>
        <v>0.7</v>
      </c>
      <c r="L5" s="3">
        <f t="shared" si="5"/>
        <v>0.3</v>
      </c>
      <c r="M5" s="3">
        <f t="shared" si="6"/>
        <v>0.7</v>
      </c>
      <c r="N5" s="3">
        <f t="shared" si="7"/>
        <v>0.7</v>
      </c>
      <c r="O5" s="3">
        <f t="shared" si="8"/>
        <v>0</v>
      </c>
      <c r="P5" s="3">
        <f t="shared" si="9"/>
        <v>0.19999999999999996</v>
      </c>
      <c r="Q5" s="3">
        <f t="shared" si="10"/>
        <v>0.19999999999999996</v>
      </c>
    </row>
    <row r="6" spans="1:17" x14ac:dyDescent="0.35">
      <c r="A6" s="2" t="s">
        <v>11</v>
      </c>
      <c r="B6" s="2" t="s">
        <v>7</v>
      </c>
      <c r="C6" s="2">
        <v>10</v>
      </c>
      <c r="D6" s="2">
        <v>0</v>
      </c>
      <c r="E6" s="2">
        <f t="shared" si="0"/>
        <v>10</v>
      </c>
      <c r="F6" s="3">
        <f t="shared" si="1"/>
        <v>1</v>
      </c>
      <c r="G6" s="3">
        <f t="shared" si="2"/>
        <v>0</v>
      </c>
      <c r="H6" s="2">
        <v>10</v>
      </c>
      <c r="I6" s="2">
        <v>0</v>
      </c>
      <c r="J6" s="2">
        <f t="shared" si="3"/>
        <v>10</v>
      </c>
      <c r="K6" s="3">
        <f t="shared" si="4"/>
        <v>1</v>
      </c>
      <c r="L6" s="3">
        <f t="shared" si="5"/>
        <v>0</v>
      </c>
      <c r="M6" s="3">
        <f t="shared" si="6"/>
        <v>1</v>
      </c>
      <c r="N6" s="3">
        <f t="shared" si="7"/>
        <v>1</v>
      </c>
      <c r="O6" s="3">
        <f t="shared" si="8"/>
        <v>0</v>
      </c>
      <c r="P6" s="3">
        <f t="shared" si="9"/>
        <v>0</v>
      </c>
      <c r="Q6" s="3">
        <f t="shared" si="10"/>
        <v>0</v>
      </c>
    </row>
    <row r="7" spans="1:17" x14ac:dyDescent="0.35">
      <c r="A7" s="2" t="s">
        <v>11</v>
      </c>
      <c r="B7" s="2" t="s">
        <v>8</v>
      </c>
      <c r="C7" s="2">
        <v>10</v>
      </c>
      <c r="D7" s="2">
        <v>0</v>
      </c>
      <c r="E7" s="2">
        <f t="shared" si="0"/>
        <v>10</v>
      </c>
      <c r="F7" s="3">
        <f t="shared" si="1"/>
        <v>1</v>
      </c>
      <c r="G7" s="3">
        <f t="shared" si="2"/>
        <v>0</v>
      </c>
      <c r="H7" s="2">
        <v>10</v>
      </c>
      <c r="I7" s="2">
        <v>0</v>
      </c>
      <c r="J7" s="2">
        <f t="shared" si="3"/>
        <v>10</v>
      </c>
      <c r="K7" s="3">
        <f t="shared" si="4"/>
        <v>1</v>
      </c>
      <c r="L7" s="3">
        <f t="shared" si="5"/>
        <v>0</v>
      </c>
      <c r="M7" s="3">
        <f t="shared" si="6"/>
        <v>1</v>
      </c>
      <c r="N7" s="3">
        <f t="shared" si="7"/>
        <v>1</v>
      </c>
      <c r="O7" s="3">
        <f t="shared" si="8"/>
        <v>0</v>
      </c>
      <c r="P7" s="3">
        <f t="shared" si="9"/>
        <v>0</v>
      </c>
      <c r="Q7" s="3">
        <f t="shared" si="10"/>
        <v>0</v>
      </c>
    </row>
    <row r="8" spans="1:17" x14ac:dyDescent="0.35">
      <c r="A8" s="2" t="s">
        <v>11</v>
      </c>
      <c r="B8" s="2" t="s">
        <v>9</v>
      </c>
      <c r="C8" s="2">
        <v>10</v>
      </c>
      <c r="D8" s="2">
        <v>0</v>
      </c>
      <c r="E8" s="2">
        <f t="shared" si="0"/>
        <v>10</v>
      </c>
      <c r="F8" s="3">
        <f t="shared" si="1"/>
        <v>1</v>
      </c>
      <c r="G8" s="3">
        <f t="shared" si="2"/>
        <v>0</v>
      </c>
      <c r="H8" s="2">
        <v>10</v>
      </c>
      <c r="I8" s="2">
        <v>0</v>
      </c>
      <c r="J8" s="2">
        <f t="shared" si="3"/>
        <v>10</v>
      </c>
      <c r="K8" s="3">
        <f t="shared" si="4"/>
        <v>1</v>
      </c>
      <c r="L8" s="3">
        <f t="shared" si="5"/>
        <v>0</v>
      </c>
      <c r="M8" s="3">
        <f t="shared" si="6"/>
        <v>1</v>
      </c>
      <c r="N8" s="3">
        <f t="shared" si="7"/>
        <v>1</v>
      </c>
      <c r="O8" s="3">
        <f t="shared" si="8"/>
        <v>0</v>
      </c>
      <c r="P8" s="3">
        <f t="shared" si="9"/>
        <v>0</v>
      </c>
      <c r="Q8" s="3">
        <f t="shared" si="10"/>
        <v>0</v>
      </c>
    </row>
    <row r="9" spans="1:17" x14ac:dyDescent="0.35">
      <c r="A9" s="2" t="s">
        <v>11</v>
      </c>
      <c r="B9" s="2" t="s">
        <v>10</v>
      </c>
      <c r="C9" s="2">
        <v>10</v>
      </c>
      <c r="D9" s="2">
        <v>0</v>
      </c>
      <c r="E9" s="2">
        <f t="shared" si="0"/>
        <v>10</v>
      </c>
      <c r="F9" s="3">
        <f t="shared" si="1"/>
        <v>1</v>
      </c>
      <c r="G9" s="3">
        <f t="shared" si="2"/>
        <v>0</v>
      </c>
      <c r="H9" s="2">
        <v>10</v>
      </c>
      <c r="I9" s="2">
        <v>0</v>
      </c>
      <c r="J9" s="2">
        <f t="shared" si="3"/>
        <v>10</v>
      </c>
      <c r="K9" s="3">
        <f t="shared" si="4"/>
        <v>1</v>
      </c>
      <c r="L9" s="3">
        <f t="shared" si="5"/>
        <v>0</v>
      </c>
      <c r="M9" s="3">
        <f t="shared" si="6"/>
        <v>1</v>
      </c>
      <c r="N9" s="3">
        <f t="shared" si="7"/>
        <v>1</v>
      </c>
      <c r="O9" s="3">
        <f t="shared" si="8"/>
        <v>0</v>
      </c>
      <c r="P9" s="3">
        <f t="shared" si="9"/>
        <v>0</v>
      </c>
      <c r="Q9" s="3">
        <f t="shared" si="10"/>
        <v>0</v>
      </c>
    </row>
    <row r="10" spans="1:17" x14ac:dyDescent="0.35">
      <c r="A10" s="2" t="s">
        <v>12</v>
      </c>
      <c r="B10" s="2" t="s">
        <v>7</v>
      </c>
      <c r="C10" s="2">
        <v>6</v>
      </c>
      <c r="D10" s="2">
        <v>4</v>
      </c>
      <c r="E10" s="2">
        <f t="shared" si="0"/>
        <v>10</v>
      </c>
      <c r="F10" s="3">
        <f t="shared" si="1"/>
        <v>0.6</v>
      </c>
      <c r="G10" s="3">
        <f t="shared" si="2"/>
        <v>0.4</v>
      </c>
      <c r="H10" s="2">
        <v>6</v>
      </c>
      <c r="I10" s="2">
        <v>4</v>
      </c>
      <c r="J10" s="2">
        <f t="shared" si="3"/>
        <v>10</v>
      </c>
      <c r="K10" s="3">
        <f t="shared" si="4"/>
        <v>0.6</v>
      </c>
      <c r="L10" s="3">
        <f t="shared" si="5"/>
        <v>0.4</v>
      </c>
      <c r="M10" s="3">
        <f t="shared" si="6"/>
        <v>0.6</v>
      </c>
      <c r="N10" s="3">
        <f t="shared" si="7"/>
        <v>0.6</v>
      </c>
      <c r="O10" s="3">
        <f t="shared" si="8"/>
        <v>0</v>
      </c>
      <c r="P10" s="3">
        <f t="shared" si="9"/>
        <v>0</v>
      </c>
      <c r="Q10" s="3">
        <f t="shared" si="10"/>
        <v>0</v>
      </c>
    </row>
    <row r="11" spans="1:17" x14ac:dyDescent="0.35">
      <c r="A11" s="2" t="s">
        <v>12</v>
      </c>
      <c r="B11" s="2" t="s">
        <v>8</v>
      </c>
      <c r="C11" s="2">
        <v>4</v>
      </c>
      <c r="D11" s="2">
        <v>6</v>
      </c>
      <c r="E11" s="2">
        <f t="shared" si="0"/>
        <v>10</v>
      </c>
      <c r="F11" s="3">
        <f t="shared" si="1"/>
        <v>0.4</v>
      </c>
      <c r="G11" s="3">
        <f t="shared" si="2"/>
        <v>0.6</v>
      </c>
      <c r="H11" s="2">
        <v>4</v>
      </c>
      <c r="I11" s="2">
        <v>6</v>
      </c>
      <c r="J11" s="2">
        <f t="shared" si="3"/>
        <v>10</v>
      </c>
      <c r="K11" s="3">
        <f t="shared" si="4"/>
        <v>0.4</v>
      </c>
      <c r="L11" s="3">
        <f t="shared" si="5"/>
        <v>0.6</v>
      </c>
      <c r="M11" s="3">
        <f t="shared" si="6"/>
        <v>0.6</v>
      </c>
      <c r="N11" s="3">
        <f t="shared" si="7"/>
        <v>0.6</v>
      </c>
      <c r="O11" s="3">
        <f t="shared" si="8"/>
        <v>0</v>
      </c>
      <c r="P11" s="3">
        <f t="shared" si="9"/>
        <v>-0.19999999999999996</v>
      </c>
      <c r="Q11" s="3">
        <f t="shared" si="10"/>
        <v>-0.19999999999999996</v>
      </c>
    </row>
    <row r="12" spans="1:17" x14ac:dyDescent="0.35">
      <c r="A12" s="2" t="s">
        <v>12</v>
      </c>
      <c r="B12" s="2" t="s">
        <v>9</v>
      </c>
      <c r="C12" s="2">
        <v>4</v>
      </c>
      <c r="D12" s="2">
        <v>6</v>
      </c>
      <c r="E12" s="2">
        <f t="shared" si="0"/>
        <v>10</v>
      </c>
      <c r="F12" s="3">
        <f t="shared" si="1"/>
        <v>0.4</v>
      </c>
      <c r="G12" s="3">
        <f t="shared" si="2"/>
        <v>0.6</v>
      </c>
      <c r="H12" s="2">
        <v>6</v>
      </c>
      <c r="I12" s="2">
        <v>4</v>
      </c>
      <c r="J12" s="2">
        <f t="shared" si="3"/>
        <v>10</v>
      </c>
      <c r="K12" s="3">
        <f t="shared" si="4"/>
        <v>0.6</v>
      </c>
      <c r="L12" s="3">
        <f t="shared" si="5"/>
        <v>0.4</v>
      </c>
      <c r="M12" s="3">
        <f t="shared" si="6"/>
        <v>0.6</v>
      </c>
      <c r="N12" s="3">
        <f t="shared" si="7"/>
        <v>0.6</v>
      </c>
      <c r="O12" s="3">
        <f t="shared" si="8"/>
        <v>0</v>
      </c>
      <c r="P12" s="3">
        <f t="shared" si="9"/>
        <v>-0.19999999999999996</v>
      </c>
      <c r="Q12" s="3">
        <f t="shared" si="10"/>
        <v>0</v>
      </c>
    </row>
    <row r="13" spans="1:17" x14ac:dyDescent="0.35">
      <c r="A13" s="2" t="s">
        <v>12</v>
      </c>
      <c r="B13" s="2" t="s">
        <v>10</v>
      </c>
      <c r="C13" s="2">
        <v>3</v>
      </c>
      <c r="D13" s="2">
        <v>7</v>
      </c>
      <c r="E13" s="2">
        <f t="shared" si="0"/>
        <v>10</v>
      </c>
      <c r="F13" s="3">
        <f t="shared" si="1"/>
        <v>0.3</v>
      </c>
      <c r="G13" s="3">
        <f t="shared" si="2"/>
        <v>0.7</v>
      </c>
      <c r="H13" s="2">
        <v>3</v>
      </c>
      <c r="I13" s="2">
        <v>7</v>
      </c>
      <c r="J13" s="2">
        <f t="shared" si="3"/>
        <v>10</v>
      </c>
      <c r="K13" s="3">
        <f t="shared" si="4"/>
        <v>0.3</v>
      </c>
      <c r="L13" s="3">
        <f t="shared" si="5"/>
        <v>0.7</v>
      </c>
      <c r="M13" s="3">
        <f t="shared" si="6"/>
        <v>0.7</v>
      </c>
      <c r="N13" s="3">
        <f t="shared" si="7"/>
        <v>0.7</v>
      </c>
      <c r="O13" s="3">
        <f t="shared" si="8"/>
        <v>0</v>
      </c>
      <c r="P13" s="3">
        <f t="shared" si="9"/>
        <v>-0.3</v>
      </c>
      <c r="Q13" s="3">
        <f t="shared" si="10"/>
        <v>-0.3</v>
      </c>
    </row>
    <row r="14" spans="1:17" x14ac:dyDescent="0.35">
      <c r="A14" s="2" t="s">
        <v>13</v>
      </c>
      <c r="B14" s="2" t="s">
        <v>7</v>
      </c>
      <c r="C14" s="2">
        <v>7</v>
      </c>
      <c r="D14" s="2">
        <v>3</v>
      </c>
      <c r="E14" s="2">
        <f t="shared" si="0"/>
        <v>10</v>
      </c>
      <c r="F14" s="3">
        <f t="shared" si="1"/>
        <v>0.7</v>
      </c>
      <c r="G14" s="3">
        <f t="shared" si="2"/>
        <v>0.3</v>
      </c>
      <c r="H14" s="2">
        <v>7</v>
      </c>
      <c r="I14" s="2">
        <v>3</v>
      </c>
      <c r="J14" s="2">
        <f t="shared" si="3"/>
        <v>10</v>
      </c>
      <c r="K14" s="3">
        <f t="shared" si="4"/>
        <v>0.7</v>
      </c>
      <c r="L14" s="3">
        <f t="shared" si="5"/>
        <v>0.3</v>
      </c>
      <c r="M14" s="3">
        <f t="shared" si="6"/>
        <v>0.7</v>
      </c>
      <c r="N14" s="3">
        <f t="shared" si="7"/>
        <v>0.7</v>
      </c>
      <c r="O14" s="3">
        <f t="shared" si="8"/>
        <v>0</v>
      </c>
      <c r="P14" s="3">
        <f t="shared" si="9"/>
        <v>0</v>
      </c>
      <c r="Q14" s="3">
        <f t="shared" si="10"/>
        <v>0</v>
      </c>
    </row>
    <row r="15" spans="1:17" x14ac:dyDescent="0.35">
      <c r="A15" s="2" t="s">
        <v>13</v>
      </c>
      <c r="B15" s="2" t="s">
        <v>8</v>
      </c>
      <c r="C15" s="2">
        <v>4</v>
      </c>
      <c r="D15" s="2">
        <v>6</v>
      </c>
      <c r="E15" s="2">
        <f t="shared" si="0"/>
        <v>10</v>
      </c>
      <c r="F15" s="3">
        <f t="shared" si="1"/>
        <v>0.4</v>
      </c>
      <c r="G15" s="3">
        <f t="shared" si="2"/>
        <v>0.6</v>
      </c>
      <c r="H15" s="2">
        <v>4</v>
      </c>
      <c r="I15" s="2">
        <v>6</v>
      </c>
      <c r="J15" s="2">
        <f t="shared" si="3"/>
        <v>10</v>
      </c>
      <c r="K15" s="3">
        <f t="shared" si="4"/>
        <v>0.4</v>
      </c>
      <c r="L15" s="3">
        <f t="shared" si="5"/>
        <v>0.6</v>
      </c>
      <c r="M15" s="3">
        <f t="shared" si="6"/>
        <v>0.6</v>
      </c>
      <c r="N15" s="3">
        <f t="shared" si="7"/>
        <v>0.6</v>
      </c>
      <c r="O15" s="3">
        <f t="shared" si="8"/>
        <v>0</v>
      </c>
      <c r="P15" s="3">
        <f t="shared" si="9"/>
        <v>-0.29999999999999993</v>
      </c>
      <c r="Q15" s="3">
        <f t="shared" si="10"/>
        <v>-0.29999999999999993</v>
      </c>
    </row>
    <row r="16" spans="1:17" x14ac:dyDescent="0.35">
      <c r="A16" s="2" t="s">
        <v>13</v>
      </c>
      <c r="B16" s="2" t="s">
        <v>9</v>
      </c>
      <c r="C16" s="2">
        <v>8</v>
      </c>
      <c r="D16" s="2">
        <v>2</v>
      </c>
      <c r="E16" s="2">
        <f t="shared" si="0"/>
        <v>10</v>
      </c>
      <c r="F16" s="3">
        <f t="shared" si="1"/>
        <v>0.8</v>
      </c>
      <c r="G16" s="3">
        <f t="shared" si="2"/>
        <v>0.2</v>
      </c>
      <c r="H16" s="2">
        <v>8</v>
      </c>
      <c r="I16" s="2">
        <v>2</v>
      </c>
      <c r="J16" s="2">
        <f t="shared" si="3"/>
        <v>10</v>
      </c>
      <c r="K16" s="3">
        <f t="shared" si="4"/>
        <v>0.8</v>
      </c>
      <c r="L16" s="3">
        <f t="shared" si="5"/>
        <v>0.2</v>
      </c>
      <c r="M16" s="3">
        <f t="shared" si="6"/>
        <v>0.8</v>
      </c>
      <c r="N16" s="3">
        <f t="shared" si="7"/>
        <v>0.8</v>
      </c>
      <c r="O16" s="3">
        <f t="shared" si="8"/>
        <v>0</v>
      </c>
      <c r="P16" s="3">
        <f t="shared" si="9"/>
        <v>0.10000000000000009</v>
      </c>
      <c r="Q16" s="3">
        <f t="shared" si="10"/>
        <v>0.10000000000000009</v>
      </c>
    </row>
    <row r="17" spans="1:17" x14ac:dyDescent="0.35">
      <c r="A17" s="2" t="s">
        <v>13</v>
      </c>
      <c r="B17" s="2" t="s">
        <v>10</v>
      </c>
      <c r="C17" s="2">
        <v>4</v>
      </c>
      <c r="D17" s="2">
        <v>6</v>
      </c>
      <c r="E17" s="2">
        <f t="shared" si="0"/>
        <v>10</v>
      </c>
      <c r="F17" s="3">
        <f t="shared" si="1"/>
        <v>0.4</v>
      </c>
      <c r="G17" s="3">
        <f t="shared" si="2"/>
        <v>0.6</v>
      </c>
      <c r="H17" s="2">
        <v>4</v>
      </c>
      <c r="I17" s="2">
        <v>6</v>
      </c>
      <c r="J17" s="2">
        <f t="shared" si="3"/>
        <v>10</v>
      </c>
      <c r="K17" s="3">
        <f t="shared" si="4"/>
        <v>0.4</v>
      </c>
      <c r="L17" s="3">
        <f t="shared" si="5"/>
        <v>0.6</v>
      </c>
      <c r="M17" s="3">
        <f t="shared" si="6"/>
        <v>0.6</v>
      </c>
      <c r="N17" s="3">
        <f t="shared" si="7"/>
        <v>0.6</v>
      </c>
      <c r="O17" s="3">
        <f t="shared" si="8"/>
        <v>0</v>
      </c>
      <c r="P17" s="3">
        <f t="shared" si="9"/>
        <v>-0.29999999999999993</v>
      </c>
      <c r="Q17" s="3">
        <f t="shared" si="10"/>
        <v>-0.29999999999999993</v>
      </c>
    </row>
    <row r="18" spans="1:17" x14ac:dyDescent="0.35">
      <c r="A18" s="2" t="s">
        <v>14</v>
      </c>
      <c r="B18" s="2" t="s">
        <v>7</v>
      </c>
      <c r="C18" s="2">
        <v>9</v>
      </c>
      <c r="D18" s="2">
        <v>1</v>
      </c>
      <c r="E18" s="2">
        <f t="shared" si="0"/>
        <v>10</v>
      </c>
      <c r="F18" s="3">
        <f t="shared" si="1"/>
        <v>0.9</v>
      </c>
      <c r="G18" s="3">
        <f t="shared" si="2"/>
        <v>0.1</v>
      </c>
      <c r="H18" s="2">
        <v>10</v>
      </c>
      <c r="I18" s="2">
        <v>0</v>
      </c>
      <c r="J18" s="2">
        <f t="shared" si="3"/>
        <v>10</v>
      </c>
      <c r="K18" s="3">
        <f t="shared" si="4"/>
        <v>1</v>
      </c>
      <c r="L18" s="3">
        <f t="shared" si="5"/>
        <v>0</v>
      </c>
      <c r="M18" s="3">
        <f t="shared" si="6"/>
        <v>0.9</v>
      </c>
      <c r="N18" s="3">
        <f t="shared" si="7"/>
        <v>1</v>
      </c>
      <c r="O18" s="3">
        <f t="shared" si="8"/>
        <v>9.9999999999999978E-2</v>
      </c>
      <c r="P18" s="3">
        <f t="shared" si="9"/>
        <v>0</v>
      </c>
      <c r="Q18" s="3">
        <f t="shared" si="10"/>
        <v>0</v>
      </c>
    </row>
    <row r="19" spans="1:17" x14ac:dyDescent="0.35">
      <c r="A19" s="2" t="s">
        <v>14</v>
      </c>
      <c r="B19" s="2" t="s">
        <v>8</v>
      </c>
      <c r="C19" s="2">
        <v>10</v>
      </c>
      <c r="D19" s="2">
        <v>0</v>
      </c>
      <c r="E19" s="2">
        <f t="shared" si="0"/>
        <v>10</v>
      </c>
      <c r="F19" s="3">
        <f t="shared" si="1"/>
        <v>1</v>
      </c>
      <c r="G19" s="3">
        <f t="shared" si="2"/>
        <v>0</v>
      </c>
      <c r="H19" s="2">
        <v>10</v>
      </c>
      <c r="I19" s="2">
        <v>0</v>
      </c>
      <c r="J19" s="2">
        <f t="shared" si="3"/>
        <v>10</v>
      </c>
      <c r="K19" s="3">
        <f t="shared" si="4"/>
        <v>1</v>
      </c>
      <c r="L19" s="3">
        <f t="shared" si="5"/>
        <v>0</v>
      </c>
      <c r="M19" s="3">
        <f t="shared" si="6"/>
        <v>1</v>
      </c>
      <c r="N19" s="3">
        <f t="shared" si="7"/>
        <v>1</v>
      </c>
      <c r="O19" s="3">
        <f t="shared" si="8"/>
        <v>0</v>
      </c>
      <c r="P19" s="3">
        <f t="shared" si="9"/>
        <v>9.9999999999999978E-2</v>
      </c>
      <c r="Q19" s="3">
        <f t="shared" si="10"/>
        <v>0</v>
      </c>
    </row>
    <row r="20" spans="1:17" x14ac:dyDescent="0.35">
      <c r="A20" s="2" t="s">
        <v>14</v>
      </c>
      <c r="B20" s="2" t="s">
        <v>9</v>
      </c>
      <c r="C20" s="2">
        <v>6</v>
      </c>
      <c r="D20" s="2">
        <v>4</v>
      </c>
      <c r="E20" s="2">
        <f t="shared" si="0"/>
        <v>10</v>
      </c>
      <c r="F20" s="3">
        <f t="shared" si="1"/>
        <v>0.6</v>
      </c>
      <c r="G20" s="3">
        <f t="shared" si="2"/>
        <v>0.4</v>
      </c>
      <c r="H20" s="2">
        <v>6</v>
      </c>
      <c r="I20" s="2">
        <v>4</v>
      </c>
      <c r="J20" s="2">
        <f t="shared" si="3"/>
        <v>10</v>
      </c>
      <c r="K20" s="3">
        <f t="shared" si="4"/>
        <v>0.6</v>
      </c>
      <c r="L20" s="3">
        <f t="shared" si="5"/>
        <v>0.4</v>
      </c>
      <c r="M20" s="3">
        <f t="shared" si="6"/>
        <v>0.6</v>
      </c>
      <c r="N20" s="3">
        <f t="shared" si="7"/>
        <v>0.6</v>
      </c>
      <c r="O20" s="3">
        <f t="shared" si="8"/>
        <v>0</v>
      </c>
      <c r="P20" s="3">
        <f t="shared" si="9"/>
        <v>-0.30000000000000004</v>
      </c>
      <c r="Q20" s="3">
        <f t="shared" si="10"/>
        <v>-0.4</v>
      </c>
    </row>
    <row r="21" spans="1:17" x14ac:dyDescent="0.35">
      <c r="A21" s="2" t="s">
        <v>14</v>
      </c>
      <c r="B21" s="2" t="s">
        <v>10</v>
      </c>
      <c r="C21" s="2">
        <v>9</v>
      </c>
      <c r="D21" s="2">
        <v>1</v>
      </c>
      <c r="E21" s="2">
        <f t="shared" si="0"/>
        <v>10</v>
      </c>
      <c r="F21" s="3">
        <f t="shared" si="1"/>
        <v>0.9</v>
      </c>
      <c r="G21" s="3">
        <f t="shared" si="2"/>
        <v>0.1</v>
      </c>
      <c r="H21" s="2">
        <v>10</v>
      </c>
      <c r="I21" s="2">
        <v>0</v>
      </c>
      <c r="J21" s="2">
        <f t="shared" si="3"/>
        <v>10</v>
      </c>
      <c r="K21" s="3">
        <f t="shared" si="4"/>
        <v>1</v>
      </c>
      <c r="L21" s="3">
        <f t="shared" si="5"/>
        <v>0</v>
      </c>
      <c r="M21" s="3">
        <f t="shared" si="6"/>
        <v>0.9</v>
      </c>
      <c r="N21" s="3">
        <f t="shared" si="7"/>
        <v>1</v>
      </c>
      <c r="O21" s="3">
        <f t="shared" si="8"/>
        <v>9.9999999999999978E-2</v>
      </c>
      <c r="P21" s="3">
        <f t="shared" si="9"/>
        <v>0</v>
      </c>
      <c r="Q21" s="3">
        <f t="shared" si="10"/>
        <v>0</v>
      </c>
    </row>
    <row r="22" spans="1:17" x14ac:dyDescent="0.35">
      <c r="A22" s="2" t="s">
        <v>15</v>
      </c>
      <c r="B22" s="2" t="s">
        <v>7</v>
      </c>
      <c r="C22" s="2">
        <v>10</v>
      </c>
      <c r="D22" s="2">
        <v>0</v>
      </c>
      <c r="E22" s="2">
        <f t="shared" si="0"/>
        <v>10</v>
      </c>
      <c r="F22" s="3">
        <f t="shared" si="1"/>
        <v>1</v>
      </c>
      <c r="G22" s="3">
        <f t="shared" si="2"/>
        <v>0</v>
      </c>
      <c r="H22" s="2">
        <v>10</v>
      </c>
      <c r="I22" s="2">
        <v>0</v>
      </c>
      <c r="J22" s="2">
        <f t="shared" si="3"/>
        <v>10</v>
      </c>
      <c r="K22" s="3">
        <f t="shared" si="4"/>
        <v>1</v>
      </c>
      <c r="L22" s="3">
        <f t="shared" si="5"/>
        <v>0</v>
      </c>
      <c r="M22" s="3">
        <f t="shared" si="6"/>
        <v>1</v>
      </c>
      <c r="N22" s="3">
        <f t="shared" si="7"/>
        <v>1</v>
      </c>
      <c r="O22" s="3">
        <f t="shared" si="8"/>
        <v>0</v>
      </c>
      <c r="P22" s="3">
        <f t="shared" si="9"/>
        <v>0</v>
      </c>
      <c r="Q22" s="3">
        <f t="shared" si="10"/>
        <v>0</v>
      </c>
    </row>
    <row r="23" spans="1:17" x14ac:dyDescent="0.35">
      <c r="A23" s="2" t="s">
        <v>15</v>
      </c>
      <c r="B23" s="2" t="s">
        <v>8</v>
      </c>
      <c r="C23" s="2">
        <v>10</v>
      </c>
      <c r="D23" s="2">
        <v>0</v>
      </c>
      <c r="E23" s="2">
        <f t="shared" si="0"/>
        <v>10</v>
      </c>
      <c r="F23" s="3">
        <f t="shared" si="1"/>
        <v>1</v>
      </c>
      <c r="G23" s="3">
        <f t="shared" si="2"/>
        <v>0</v>
      </c>
      <c r="H23" s="2">
        <v>10</v>
      </c>
      <c r="I23" s="2">
        <v>0</v>
      </c>
      <c r="J23" s="2">
        <f t="shared" si="3"/>
        <v>10</v>
      </c>
      <c r="K23" s="3">
        <f t="shared" si="4"/>
        <v>1</v>
      </c>
      <c r="L23" s="3">
        <f t="shared" si="5"/>
        <v>0</v>
      </c>
      <c r="M23" s="3">
        <f t="shared" si="6"/>
        <v>1</v>
      </c>
      <c r="N23" s="3">
        <f t="shared" si="7"/>
        <v>1</v>
      </c>
      <c r="O23" s="3">
        <f t="shared" si="8"/>
        <v>0</v>
      </c>
      <c r="P23" s="3">
        <f t="shared" si="9"/>
        <v>0</v>
      </c>
      <c r="Q23" s="3">
        <f t="shared" si="10"/>
        <v>0</v>
      </c>
    </row>
    <row r="24" spans="1:17" x14ac:dyDescent="0.35">
      <c r="A24" s="2" t="s">
        <v>15</v>
      </c>
      <c r="B24" s="2" t="s">
        <v>9</v>
      </c>
      <c r="C24" s="2">
        <v>10</v>
      </c>
      <c r="D24" s="2">
        <v>0</v>
      </c>
      <c r="E24" s="2">
        <f t="shared" si="0"/>
        <v>10</v>
      </c>
      <c r="F24" s="3">
        <f t="shared" si="1"/>
        <v>1</v>
      </c>
      <c r="G24" s="3">
        <f t="shared" si="2"/>
        <v>0</v>
      </c>
      <c r="H24" s="2">
        <v>10</v>
      </c>
      <c r="I24" s="2">
        <v>0</v>
      </c>
      <c r="J24" s="2">
        <f t="shared" si="3"/>
        <v>10</v>
      </c>
      <c r="K24" s="3">
        <f t="shared" si="4"/>
        <v>1</v>
      </c>
      <c r="L24" s="3">
        <f t="shared" si="5"/>
        <v>0</v>
      </c>
      <c r="M24" s="3">
        <f t="shared" si="6"/>
        <v>1</v>
      </c>
      <c r="N24" s="3">
        <f t="shared" si="7"/>
        <v>1</v>
      </c>
      <c r="O24" s="3">
        <f t="shared" si="8"/>
        <v>0</v>
      </c>
      <c r="P24" s="3">
        <f t="shared" si="9"/>
        <v>0</v>
      </c>
      <c r="Q24" s="3">
        <f t="shared" si="10"/>
        <v>0</v>
      </c>
    </row>
    <row r="25" spans="1:17" x14ac:dyDescent="0.35">
      <c r="A25" s="2" t="s">
        <v>15</v>
      </c>
      <c r="B25" s="2" t="s">
        <v>10</v>
      </c>
      <c r="C25" s="2">
        <v>10</v>
      </c>
      <c r="D25" s="2">
        <v>0</v>
      </c>
      <c r="E25" s="2">
        <f t="shared" si="0"/>
        <v>10</v>
      </c>
      <c r="F25" s="3">
        <f t="shared" si="1"/>
        <v>1</v>
      </c>
      <c r="G25" s="3">
        <f t="shared" si="2"/>
        <v>0</v>
      </c>
      <c r="H25" s="2">
        <v>10</v>
      </c>
      <c r="I25" s="2">
        <v>0</v>
      </c>
      <c r="J25" s="2">
        <f t="shared" si="3"/>
        <v>10</v>
      </c>
      <c r="K25" s="3">
        <f t="shared" si="4"/>
        <v>1</v>
      </c>
      <c r="L25" s="3">
        <f t="shared" si="5"/>
        <v>0</v>
      </c>
      <c r="M25" s="3">
        <f t="shared" si="6"/>
        <v>1</v>
      </c>
      <c r="N25" s="3">
        <f t="shared" si="7"/>
        <v>1</v>
      </c>
      <c r="O25" s="3">
        <f t="shared" si="8"/>
        <v>0</v>
      </c>
      <c r="P25" s="3">
        <f t="shared" si="9"/>
        <v>0</v>
      </c>
      <c r="Q25" s="3">
        <f t="shared" si="10"/>
        <v>0</v>
      </c>
    </row>
    <row r="26" spans="1:17" x14ac:dyDescent="0.35">
      <c r="A26" s="2" t="s">
        <v>16</v>
      </c>
      <c r="B26" s="2" t="s">
        <v>7</v>
      </c>
      <c r="C26" s="2">
        <v>10</v>
      </c>
      <c r="D26" s="2">
        <v>0</v>
      </c>
      <c r="E26" s="2">
        <f t="shared" si="0"/>
        <v>10</v>
      </c>
      <c r="F26" s="3">
        <f t="shared" si="1"/>
        <v>1</v>
      </c>
      <c r="G26" s="3">
        <f t="shared" si="2"/>
        <v>0</v>
      </c>
      <c r="H26" s="2">
        <v>10</v>
      </c>
      <c r="I26" s="2">
        <v>0</v>
      </c>
      <c r="J26" s="2">
        <f t="shared" si="3"/>
        <v>10</v>
      </c>
      <c r="K26" s="3">
        <f t="shared" si="4"/>
        <v>1</v>
      </c>
      <c r="L26" s="3">
        <f t="shared" si="5"/>
        <v>0</v>
      </c>
      <c r="M26" s="3">
        <f t="shared" si="6"/>
        <v>1</v>
      </c>
      <c r="N26" s="3">
        <f t="shared" si="7"/>
        <v>1</v>
      </c>
      <c r="O26" s="3">
        <f t="shared" si="8"/>
        <v>0</v>
      </c>
      <c r="P26" s="3">
        <f t="shared" si="9"/>
        <v>0</v>
      </c>
      <c r="Q26" s="3">
        <f t="shared" si="10"/>
        <v>0</v>
      </c>
    </row>
    <row r="27" spans="1:17" x14ac:dyDescent="0.35">
      <c r="A27" s="2" t="s">
        <v>16</v>
      </c>
      <c r="B27" s="2" t="s">
        <v>8</v>
      </c>
      <c r="C27" s="2">
        <v>10</v>
      </c>
      <c r="D27" s="2">
        <v>0</v>
      </c>
      <c r="E27" s="2">
        <f t="shared" si="0"/>
        <v>10</v>
      </c>
      <c r="F27" s="3">
        <f t="shared" si="1"/>
        <v>1</v>
      </c>
      <c r="G27" s="3">
        <f t="shared" si="2"/>
        <v>0</v>
      </c>
      <c r="H27" s="2">
        <v>10</v>
      </c>
      <c r="I27" s="2">
        <v>0</v>
      </c>
      <c r="J27" s="2">
        <f t="shared" si="3"/>
        <v>10</v>
      </c>
      <c r="K27" s="3">
        <f t="shared" si="4"/>
        <v>1</v>
      </c>
      <c r="L27" s="3">
        <f t="shared" si="5"/>
        <v>0</v>
      </c>
      <c r="M27" s="3">
        <f t="shared" si="6"/>
        <v>1</v>
      </c>
      <c r="N27" s="3">
        <f t="shared" si="7"/>
        <v>1</v>
      </c>
      <c r="O27" s="3">
        <f t="shared" si="8"/>
        <v>0</v>
      </c>
      <c r="P27" s="3">
        <f t="shared" si="9"/>
        <v>0</v>
      </c>
      <c r="Q27" s="3">
        <f t="shared" si="10"/>
        <v>0</v>
      </c>
    </row>
    <row r="28" spans="1:17" x14ac:dyDescent="0.35">
      <c r="A28" s="2" t="s">
        <v>16</v>
      </c>
      <c r="B28" s="2" t="s">
        <v>9</v>
      </c>
      <c r="C28" s="2">
        <v>10</v>
      </c>
      <c r="D28" s="2">
        <v>0</v>
      </c>
      <c r="E28" s="2">
        <f t="shared" si="0"/>
        <v>10</v>
      </c>
      <c r="F28" s="3">
        <f t="shared" si="1"/>
        <v>1</v>
      </c>
      <c r="G28" s="3">
        <f t="shared" si="2"/>
        <v>0</v>
      </c>
      <c r="H28" s="2">
        <v>10</v>
      </c>
      <c r="I28" s="2">
        <v>0</v>
      </c>
      <c r="J28" s="2">
        <f t="shared" si="3"/>
        <v>10</v>
      </c>
      <c r="K28" s="3">
        <f t="shared" si="4"/>
        <v>1</v>
      </c>
      <c r="L28" s="3">
        <f t="shared" si="5"/>
        <v>0</v>
      </c>
      <c r="M28" s="3">
        <f t="shared" si="6"/>
        <v>1</v>
      </c>
      <c r="N28" s="3">
        <f t="shared" si="7"/>
        <v>1</v>
      </c>
      <c r="O28" s="3">
        <f t="shared" si="8"/>
        <v>0</v>
      </c>
      <c r="P28" s="3">
        <f t="shared" si="9"/>
        <v>0</v>
      </c>
      <c r="Q28" s="3">
        <f t="shared" si="10"/>
        <v>0</v>
      </c>
    </row>
    <row r="29" spans="1:17" x14ac:dyDescent="0.35">
      <c r="A29" s="2" t="s">
        <v>16</v>
      </c>
      <c r="B29" s="2" t="s">
        <v>10</v>
      </c>
      <c r="C29" s="2">
        <v>10</v>
      </c>
      <c r="D29" s="2">
        <v>0</v>
      </c>
      <c r="E29" s="2">
        <f t="shared" si="0"/>
        <v>10</v>
      </c>
      <c r="F29" s="3">
        <f t="shared" si="1"/>
        <v>1</v>
      </c>
      <c r="G29" s="3">
        <f t="shared" si="2"/>
        <v>0</v>
      </c>
      <c r="H29" s="2">
        <v>10</v>
      </c>
      <c r="I29" s="2">
        <v>0</v>
      </c>
      <c r="J29" s="2">
        <f t="shared" si="3"/>
        <v>10</v>
      </c>
      <c r="K29" s="3">
        <f t="shared" si="4"/>
        <v>1</v>
      </c>
      <c r="L29" s="3">
        <f t="shared" si="5"/>
        <v>0</v>
      </c>
      <c r="M29" s="3">
        <f t="shared" si="6"/>
        <v>1</v>
      </c>
      <c r="N29" s="3">
        <f t="shared" si="7"/>
        <v>1</v>
      </c>
      <c r="O29" s="3">
        <f t="shared" si="8"/>
        <v>0</v>
      </c>
      <c r="P29" s="3">
        <f t="shared" si="9"/>
        <v>0</v>
      </c>
      <c r="Q29" s="3">
        <f t="shared" si="10"/>
        <v>0</v>
      </c>
    </row>
    <row r="30" spans="1:17" x14ac:dyDescent="0.35">
      <c r="A30" s="2" t="s">
        <v>17</v>
      </c>
      <c r="B30" s="2" t="s">
        <v>7</v>
      </c>
      <c r="C30" s="2">
        <v>3</v>
      </c>
      <c r="D30" s="2">
        <v>7</v>
      </c>
      <c r="E30" s="2">
        <f t="shared" si="0"/>
        <v>10</v>
      </c>
      <c r="F30" s="3">
        <f t="shared" si="1"/>
        <v>0.3</v>
      </c>
      <c r="G30" s="3">
        <f t="shared" si="2"/>
        <v>0.7</v>
      </c>
      <c r="H30" s="2">
        <v>4</v>
      </c>
      <c r="I30" s="2">
        <v>6</v>
      </c>
      <c r="J30" s="2">
        <f t="shared" si="3"/>
        <v>10</v>
      </c>
      <c r="K30" s="3">
        <f t="shared" si="4"/>
        <v>0.4</v>
      </c>
      <c r="L30" s="3">
        <f t="shared" si="5"/>
        <v>0.6</v>
      </c>
      <c r="M30" s="3">
        <f t="shared" si="6"/>
        <v>0.7</v>
      </c>
      <c r="N30" s="3">
        <f t="shared" si="7"/>
        <v>0.6</v>
      </c>
      <c r="O30" s="3">
        <f t="shared" si="8"/>
        <v>-9.9999999999999978E-2</v>
      </c>
      <c r="P30" s="3">
        <f t="shared" si="9"/>
        <v>0</v>
      </c>
      <c r="Q30" s="3">
        <f t="shared" si="10"/>
        <v>0</v>
      </c>
    </row>
    <row r="31" spans="1:17" x14ac:dyDescent="0.35">
      <c r="A31" s="2" t="s">
        <v>17</v>
      </c>
      <c r="B31" s="2" t="s">
        <v>8</v>
      </c>
      <c r="C31" s="2">
        <v>0</v>
      </c>
      <c r="D31" s="2">
        <v>10</v>
      </c>
      <c r="E31" s="2">
        <f t="shared" si="0"/>
        <v>10</v>
      </c>
      <c r="F31" s="3">
        <f t="shared" si="1"/>
        <v>0</v>
      </c>
      <c r="G31" s="3">
        <f t="shared" si="2"/>
        <v>1</v>
      </c>
      <c r="H31" s="2">
        <v>0</v>
      </c>
      <c r="I31" s="2">
        <v>10</v>
      </c>
      <c r="J31" s="2">
        <f t="shared" si="3"/>
        <v>10</v>
      </c>
      <c r="K31" s="3">
        <f t="shared" si="4"/>
        <v>0</v>
      </c>
      <c r="L31" s="3">
        <f t="shared" si="5"/>
        <v>1</v>
      </c>
      <c r="M31" s="3">
        <f t="shared" si="6"/>
        <v>1</v>
      </c>
      <c r="N31" s="3">
        <f t="shared" si="7"/>
        <v>1</v>
      </c>
      <c r="O31" s="3">
        <f t="shared" si="8"/>
        <v>0</v>
      </c>
      <c r="P31" s="3">
        <f t="shared" si="9"/>
        <v>-0.3</v>
      </c>
      <c r="Q31" s="3">
        <f t="shared" si="10"/>
        <v>-0.4</v>
      </c>
    </row>
    <row r="32" spans="1:17" x14ac:dyDescent="0.35">
      <c r="A32" s="2" t="s">
        <v>17</v>
      </c>
      <c r="B32" s="2" t="s">
        <v>9</v>
      </c>
      <c r="C32" s="2">
        <v>7</v>
      </c>
      <c r="D32" s="2">
        <v>3</v>
      </c>
      <c r="E32" s="2">
        <f t="shared" si="0"/>
        <v>10</v>
      </c>
      <c r="F32" s="3">
        <f t="shared" si="1"/>
        <v>0.7</v>
      </c>
      <c r="G32" s="3">
        <f t="shared" si="2"/>
        <v>0.3</v>
      </c>
      <c r="H32" s="2">
        <v>7</v>
      </c>
      <c r="I32" s="2">
        <v>3</v>
      </c>
      <c r="J32" s="2">
        <f t="shared" si="3"/>
        <v>10</v>
      </c>
      <c r="K32" s="3">
        <f t="shared" si="4"/>
        <v>0.7</v>
      </c>
      <c r="L32" s="3">
        <f t="shared" si="5"/>
        <v>0.3</v>
      </c>
      <c r="M32" s="3">
        <f t="shared" si="6"/>
        <v>0.7</v>
      </c>
      <c r="N32" s="3">
        <f t="shared" si="7"/>
        <v>0.7</v>
      </c>
      <c r="O32" s="3">
        <f t="shared" si="8"/>
        <v>0</v>
      </c>
      <c r="P32" s="3">
        <f t="shared" si="9"/>
        <v>0.39999999999999997</v>
      </c>
      <c r="Q32" s="3">
        <f t="shared" si="10"/>
        <v>0.29999999999999993</v>
      </c>
    </row>
    <row r="33" spans="1:17" x14ac:dyDescent="0.35">
      <c r="A33" s="2" t="s">
        <v>17</v>
      </c>
      <c r="B33" s="2" t="s">
        <v>10</v>
      </c>
      <c r="C33" s="2">
        <v>5</v>
      </c>
      <c r="D33" s="2">
        <v>5</v>
      </c>
      <c r="E33" s="2">
        <f t="shared" si="0"/>
        <v>10</v>
      </c>
      <c r="F33" s="3">
        <f t="shared" si="1"/>
        <v>0.5</v>
      </c>
      <c r="G33" s="3">
        <f t="shared" si="2"/>
        <v>0.5</v>
      </c>
      <c r="H33" s="2">
        <v>5</v>
      </c>
      <c r="I33" s="2">
        <v>5</v>
      </c>
      <c r="J33" s="2">
        <f t="shared" si="3"/>
        <v>10</v>
      </c>
      <c r="K33" s="3">
        <f t="shared" si="4"/>
        <v>0.5</v>
      </c>
      <c r="L33" s="3">
        <f t="shared" si="5"/>
        <v>0.5</v>
      </c>
      <c r="M33" s="3">
        <f t="shared" si="6"/>
        <v>0.5</v>
      </c>
      <c r="N33" s="3">
        <f t="shared" si="7"/>
        <v>0.5</v>
      </c>
      <c r="O33" s="3">
        <f t="shared" si="8"/>
        <v>0</v>
      </c>
      <c r="P33" s="3">
        <f t="shared" si="9"/>
        <v>0.2</v>
      </c>
      <c r="Q33" s="3">
        <f t="shared" si="10"/>
        <v>9.9999999999999978E-2</v>
      </c>
    </row>
    <row r="34" spans="1:17" x14ac:dyDescent="0.35">
      <c r="A34" s="2" t="s">
        <v>18</v>
      </c>
      <c r="B34" s="2" t="s">
        <v>7</v>
      </c>
      <c r="C34" s="2">
        <v>10</v>
      </c>
      <c r="D34" s="2">
        <v>0</v>
      </c>
      <c r="E34" s="2">
        <f t="shared" ref="E34:E61" si="11">C34+D34</f>
        <v>10</v>
      </c>
      <c r="F34" s="3">
        <f t="shared" ref="F34:F61" si="12">C34/E34</f>
        <v>1</v>
      </c>
      <c r="G34" s="3">
        <f t="shared" ref="G34:G61" si="13">D34/E34</f>
        <v>0</v>
      </c>
      <c r="H34" s="2">
        <v>10</v>
      </c>
      <c r="I34" s="2">
        <v>0</v>
      </c>
      <c r="J34" s="2">
        <f t="shared" ref="J34:J61" si="14">H34+I34</f>
        <v>10</v>
      </c>
      <c r="K34" s="3">
        <f t="shared" ref="K34:K61" si="15">H34/J34</f>
        <v>1</v>
      </c>
      <c r="L34" s="3">
        <f t="shared" ref="L34:L61" si="16">I34/J34</f>
        <v>0</v>
      </c>
      <c r="M34" s="3">
        <f t="shared" ref="M34:M61" si="17">MAX(F34,G34)</f>
        <v>1</v>
      </c>
      <c r="N34" s="3">
        <f t="shared" ref="N34:N61" si="18">MAX(K34,L34)</f>
        <v>1</v>
      </c>
      <c r="O34" s="3">
        <f t="shared" ref="O34:O61" si="19">N34-M34</f>
        <v>0</v>
      </c>
      <c r="P34" s="3">
        <f t="shared" ref="P34:P61" si="20">F34-SUMPRODUCT(($A$2:$A$61=A34)*($B$2:$B$61="C0")*$F$2:$F$61)</f>
        <v>0</v>
      </c>
      <c r="Q34" s="3">
        <f t="shared" ref="Q34:Q61" si="21">K34-SUMPRODUCT(($A$2:$A$61=A34)*($B$2:$B$61="C0")*$K$2:$K$61)</f>
        <v>0</v>
      </c>
    </row>
    <row r="35" spans="1:17" x14ac:dyDescent="0.35">
      <c r="A35" s="2" t="s">
        <v>18</v>
      </c>
      <c r="B35" s="2" t="s">
        <v>8</v>
      </c>
      <c r="C35" s="2">
        <v>10</v>
      </c>
      <c r="D35" s="2">
        <v>0</v>
      </c>
      <c r="E35" s="2">
        <f t="shared" si="11"/>
        <v>10</v>
      </c>
      <c r="F35" s="3">
        <f t="shared" si="12"/>
        <v>1</v>
      </c>
      <c r="G35" s="3">
        <f t="shared" si="13"/>
        <v>0</v>
      </c>
      <c r="H35" s="2">
        <v>10</v>
      </c>
      <c r="I35" s="2">
        <v>0</v>
      </c>
      <c r="J35" s="2">
        <f t="shared" si="14"/>
        <v>10</v>
      </c>
      <c r="K35" s="3">
        <f t="shared" si="15"/>
        <v>1</v>
      </c>
      <c r="L35" s="3">
        <f t="shared" si="16"/>
        <v>0</v>
      </c>
      <c r="M35" s="3">
        <f t="shared" si="17"/>
        <v>1</v>
      </c>
      <c r="N35" s="3">
        <f t="shared" si="18"/>
        <v>1</v>
      </c>
      <c r="O35" s="3">
        <f t="shared" si="19"/>
        <v>0</v>
      </c>
      <c r="P35" s="3">
        <f t="shared" si="20"/>
        <v>0</v>
      </c>
      <c r="Q35" s="3">
        <f t="shared" si="21"/>
        <v>0</v>
      </c>
    </row>
    <row r="36" spans="1:17" x14ac:dyDescent="0.35">
      <c r="A36" s="2" t="s">
        <v>18</v>
      </c>
      <c r="B36" s="2" t="s">
        <v>9</v>
      </c>
      <c r="C36" s="2">
        <v>10</v>
      </c>
      <c r="D36" s="2">
        <v>0</v>
      </c>
      <c r="E36" s="2">
        <f t="shared" si="11"/>
        <v>10</v>
      </c>
      <c r="F36" s="3">
        <f t="shared" si="12"/>
        <v>1</v>
      </c>
      <c r="G36" s="3">
        <f t="shared" si="13"/>
        <v>0</v>
      </c>
      <c r="H36" s="2">
        <v>10</v>
      </c>
      <c r="I36" s="2">
        <v>0</v>
      </c>
      <c r="J36" s="2">
        <f t="shared" si="14"/>
        <v>10</v>
      </c>
      <c r="K36" s="3">
        <f t="shared" si="15"/>
        <v>1</v>
      </c>
      <c r="L36" s="3">
        <f t="shared" si="16"/>
        <v>0</v>
      </c>
      <c r="M36" s="3">
        <f t="shared" si="17"/>
        <v>1</v>
      </c>
      <c r="N36" s="3">
        <f t="shared" si="18"/>
        <v>1</v>
      </c>
      <c r="O36" s="3">
        <f t="shared" si="19"/>
        <v>0</v>
      </c>
      <c r="P36" s="3">
        <f t="shared" si="20"/>
        <v>0</v>
      </c>
      <c r="Q36" s="3">
        <f t="shared" si="21"/>
        <v>0</v>
      </c>
    </row>
    <row r="37" spans="1:17" x14ac:dyDescent="0.35">
      <c r="A37" s="2" t="s">
        <v>18</v>
      </c>
      <c r="B37" s="2" t="s">
        <v>10</v>
      </c>
      <c r="C37" s="2">
        <v>10</v>
      </c>
      <c r="D37" s="2">
        <v>0</v>
      </c>
      <c r="E37" s="2">
        <f t="shared" si="11"/>
        <v>10</v>
      </c>
      <c r="F37" s="3">
        <f t="shared" si="12"/>
        <v>1</v>
      </c>
      <c r="G37" s="3">
        <f t="shared" si="13"/>
        <v>0</v>
      </c>
      <c r="H37" s="2">
        <v>10</v>
      </c>
      <c r="I37" s="2">
        <v>0</v>
      </c>
      <c r="J37" s="2">
        <f t="shared" si="14"/>
        <v>10</v>
      </c>
      <c r="K37" s="3">
        <f t="shared" si="15"/>
        <v>1</v>
      </c>
      <c r="L37" s="3">
        <f t="shared" si="16"/>
        <v>0</v>
      </c>
      <c r="M37" s="3">
        <f t="shared" si="17"/>
        <v>1</v>
      </c>
      <c r="N37" s="3">
        <f t="shared" si="18"/>
        <v>1</v>
      </c>
      <c r="O37" s="3">
        <f t="shared" si="19"/>
        <v>0</v>
      </c>
      <c r="P37" s="3">
        <f t="shared" si="20"/>
        <v>0</v>
      </c>
      <c r="Q37" s="3">
        <f t="shared" si="21"/>
        <v>0</v>
      </c>
    </row>
    <row r="38" spans="1:17" x14ac:dyDescent="0.35">
      <c r="A38" s="2" t="s">
        <v>19</v>
      </c>
      <c r="B38" s="2" t="s">
        <v>7</v>
      </c>
      <c r="C38" s="2">
        <v>3</v>
      </c>
      <c r="D38" s="2">
        <v>7</v>
      </c>
      <c r="E38" s="2">
        <f t="shared" si="11"/>
        <v>10</v>
      </c>
      <c r="F38" s="3">
        <f t="shared" si="12"/>
        <v>0.3</v>
      </c>
      <c r="G38" s="3">
        <f t="shared" si="13"/>
        <v>0.7</v>
      </c>
      <c r="H38" s="2">
        <v>3</v>
      </c>
      <c r="I38" s="2">
        <v>7</v>
      </c>
      <c r="J38" s="2">
        <f t="shared" si="14"/>
        <v>10</v>
      </c>
      <c r="K38" s="3">
        <f t="shared" si="15"/>
        <v>0.3</v>
      </c>
      <c r="L38" s="3">
        <f t="shared" si="16"/>
        <v>0.7</v>
      </c>
      <c r="M38" s="3">
        <f t="shared" si="17"/>
        <v>0.7</v>
      </c>
      <c r="N38" s="3">
        <f t="shared" si="18"/>
        <v>0.7</v>
      </c>
      <c r="O38" s="3">
        <f t="shared" si="19"/>
        <v>0</v>
      </c>
      <c r="P38" s="3">
        <f t="shared" si="20"/>
        <v>0</v>
      </c>
      <c r="Q38" s="3">
        <f t="shared" si="21"/>
        <v>0</v>
      </c>
    </row>
    <row r="39" spans="1:17" x14ac:dyDescent="0.35">
      <c r="A39" s="2" t="s">
        <v>19</v>
      </c>
      <c r="B39" s="2" t="s">
        <v>8</v>
      </c>
      <c r="C39" s="2">
        <v>10</v>
      </c>
      <c r="D39" s="2">
        <v>0</v>
      </c>
      <c r="E39" s="2">
        <f t="shared" si="11"/>
        <v>10</v>
      </c>
      <c r="F39" s="3">
        <f t="shared" si="12"/>
        <v>1</v>
      </c>
      <c r="G39" s="3">
        <f t="shared" si="13"/>
        <v>0</v>
      </c>
      <c r="H39" s="2">
        <v>10</v>
      </c>
      <c r="I39" s="2">
        <v>0</v>
      </c>
      <c r="J39" s="2">
        <f t="shared" si="14"/>
        <v>10</v>
      </c>
      <c r="K39" s="3">
        <f t="shared" si="15"/>
        <v>1</v>
      </c>
      <c r="L39" s="3">
        <f t="shared" si="16"/>
        <v>0</v>
      </c>
      <c r="M39" s="3">
        <f t="shared" si="17"/>
        <v>1</v>
      </c>
      <c r="N39" s="3">
        <f t="shared" si="18"/>
        <v>1</v>
      </c>
      <c r="O39" s="3">
        <f t="shared" si="19"/>
        <v>0</v>
      </c>
      <c r="P39" s="3">
        <f t="shared" si="20"/>
        <v>0.7</v>
      </c>
      <c r="Q39" s="3">
        <f t="shared" si="21"/>
        <v>0.7</v>
      </c>
    </row>
    <row r="40" spans="1:17" x14ac:dyDescent="0.35">
      <c r="A40" s="2" t="s">
        <v>19</v>
      </c>
      <c r="B40" s="2" t="s">
        <v>9</v>
      </c>
      <c r="C40" s="2">
        <v>2</v>
      </c>
      <c r="D40" s="2">
        <v>8</v>
      </c>
      <c r="E40" s="2">
        <f t="shared" si="11"/>
        <v>10</v>
      </c>
      <c r="F40" s="3">
        <f t="shared" si="12"/>
        <v>0.2</v>
      </c>
      <c r="G40" s="3">
        <f t="shared" si="13"/>
        <v>0.8</v>
      </c>
      <c r="H40" s="2">
        <v>2</v>
      </c>
      <c r="I40" s="2">
        <v>8</v>
      </c>
      <c r="J40" s="2">
        <f t="shared" si="14"/>
        <v>10</v>
      </c>
      <c r="K40" s="3">
        <f t="shared" si="15"/>
        <v>0.2</v>
      </c>
      <c r="L40" s="3">
        <f t="shared" si="16"/>
        <v>0.8</v>
      </c>
      <c r="M40" s="3">
        <f t="shared" si="17"/>
        <v>0.8</v>
      </c>
      <c r="N40" s="3">
        <f t="shared" si="18"/>
        <v>0.8</v>
      </c>
      <c r="O40" s="3">
        <f t="shared" si="19"/>
        <v>0</v>
      </c>
      <c r="P40" s="3">
        <f t="shared" si="20"/>
        <v>-9.9999999999999978E-2</v>
      </c>
      <c r="Q40" s="3">
        <f t="shared" si="21"/>
        <v>-9.9999999999999978E-2</v>
      </c>
    </row>
    <row r="41" spans="1:17" x14ac:dyDescent="0.35">
      <c r="A41" s="2" t="s">
        <v>19</v>
      </c>
      <c r="B41" s="2" t="s">
        <v>10</v>
      </c>
      <c r="C41" s="2">
        <v>7</v>
      </c>
      <c r="D41" s="2">
        <v>3</v>
      </c>
      <c r="E41" s="2">
        <f t="shared" si="11"/>
        <v>10</v>
      </c>
      <c r="F41" s="3">
        <f t="shared" si="12"/>
        <v>0.7</v>
      </c>
      <c r="G41" s="3">
        <f t="shared" si="13"/>
        <v>0.3</v>
      </c>
      <c r="H41" s="2">
        <v>7</v>
      </c>
      <c r="I41" s="2">
        <v>3</v>
      </c>
      <c r="J41" s="2">
        <f t="shared" si="14"/>
        <v>10</v>
      </c>
      <c r="K41" s="3">
        <f t="shared" si="15"/>
        <v>0.7</v>
      </c>
      <c r="L41" s="3">
        <f t="shared" si="16"/>
        <v>0.3</v>
      </c>
      <c r="M41" s="3">
        <f t="shared" si="17"/>
        <v>0.7</v>
      </c>
      <c r="N41" s="3">
        <f t="shared" si="18"/>
        <v>0.7</v>
      </c>
      <c r="O41" s="3">
        <f t="shared" si="19"/>
        <v>0</v>
      </c>
      <c r="P41" s="3">
        <f t="shared" si="20"/>
        <v>0.39999999999999997</v>
      </c>
      <c r="Q41" s="3">
        <f t="shared" si="21"/>
        <v>0.39999999999999997</v>
      </c>
    </row>
    <row r="42" spans="1:17" x14ac:dyDescent="0.35">
      <c r="A42" s="2" t="s">
        <v>20</v>
      </c>
      <c r="B42" s="2" t="s">
        <v>7</v>
      </c>
      <c r="C42" s="2">
        <v>0</v>
      </c>
      <c r="D42" s="2">
        <v>10</v>
      </c>
      <c r="E42" s="2">
        <f t="shared" si="11"/>
        <v>10</v>
      </c>
      <c r="F42" s="3">
        <f t="shared" si="12"/>
        <v>0</v>
      </c>
      <c r="G42" s="3">
        <f t="shared" si="13"/>
        <v>1</v>
      </c>
      <c r="H42" s="2">
        <v>0</v>
      </c>
      <c r="I42" s="2">
        <v>10</v>
      </c>
      <c r="J42" s="2">
        <f t="shared" si="14"/>
        <v>10</v>
      </c>
      <c r="K42" s="3">
        <f t="shared" si="15"/>
        <v>0</v>
      </c>
      <c r="L42" s="3">
        <f t="shared" si="16"/>
        <v>1</v>
      </c>
      <c r="M42" s="3">
        <f t="shared" si="17"/>
        <v>1</v>
      </c>
      <c r="N42" s="3">
        <f t="shared" si="18"/>
        <v>1</v>
      </c>
      <c r="O42" s="3">
        <f t="shared" si="19"/>
        <v>0</v>
      </c>
      <c r="P42" s="3">
        <f t="shared" si="20"/>
        <v>0</v>
      </c>
      <c r="Q42" s="3">
        <f t="shared" si="21"/>
        <v>0</v>
      </c>
    </row>
    <row r="43" spans="1:17" x14ac:dyDescent="0.35">
      <c r="A43" s="2" t="s">
        <v>20</v>
      </c>
      <c r="B43" s="2" t="s">
        <v>8</v>
      </c>
      <c r="C43" s="2">
        <v>4</v>
      </c>
      <c r="D43" s="2">
        <v>6</v>
      </c>
      <c r="E43" s="2">
        <f t="shared" si="11"/>
        <v>10</v>
      </c>
      <c r="F43" s="3">
        <f t="shared" si="12"/>
        <v>0.4</v>
      </c>
      <c r="G43" s="3">
        <f t="shared" si="13"/>
        <v>0.6</v>
      </c>
      <c r="H43" s="2">
        <v>4</v>
      </c>
      <c r="I43" s="2">
        <v>6</v>
      </c>
      <c r="J43" s="2">
        <f t="shared" si="14"/>
        <v>10</v>
      </c>
      <c r="K43" s="3">
        <f t="shared" si="15"/>
        <v>0.4</v>
      </c>
      <c r="L43" s="3">
        <f t="shared" si="16"/>
        <v>0.6</v>
      </c>
      <c r="M43" s="3">
        <f t="shared" si="17"/>
        <v>0.6</v>
      </c>
      <c r="N43" s="3">
        <f t="shared" si="18"/>
        <v>0.6</v>
      </c>
      <c r="O43" s="3">
        <f t="shared" si="19"/>
        <v>0</v>
      </c>
      <c r="P43" s="3">
        <f t="shared" si="20"/>
        <v>0.4</v>
      </c>
      <c r="Q43" s="3">
        <f t="shared" si="21"/>
        <v>0.4</v>
      </c>
    </row>
    <row r="44" spans="1:17" x14ac:dyDescent="0.35">
      <c r="A44" s="2" t="s">
        <v>20</v>
      </c>
      <c r="B44" s="2" t="s">
        <v>9</v>
      </c>
      <c r="C44" s="2">
        <v>0</v>
      </c>
      <c r="D44" s="2">
        <v>10</v>
      </c>
      <c r="E44" s="2">
        <f t="shared" si="11"/>
        <v>10</v>
      </c>
      <c r="F44" s="3">
        <f t="shared" si="12"/>
        <v>0</v>
      </c>
      <c r="G44" s="3">
        <f t="shared" si="13"/>
        <v>1</v>
      </c>
      <c r="H44" s="2">
        <v>0</v>
      </c>
      <c r="I44" s="2">
        <v>10</v>
      </c>
      <c r="J44" s="2">
        <f t="shared" si="14"/>
        <v>10</v>
      </c>
      <c r="K44" s="3">
        <f t="shared" si="15"/>
        <v>0</v>
      </c>
      <c r="L44" s="3">
        <f t="shared" si="16"/>
        <v>1</v>
      </c>
      <c r="M44" s="3">
        <f t="shared" si="17"/>
        <v>1</v>
      </c>
      <c r="N44" s="3">
        <f t="shared" si="18"/>
        <v>1</v>
      </c>
      <c r="O44" s="3">
        <f t="shared" si="19"/>
        <v>0</v>
      </c>
      <c r="P44" s="3">
        <f t="shared" si="20"/>
        <v>0</v>
      </c>
      <c r="Q44" s="3">
        <f t="shared" si="21"/>
        <v>0</v>
      </c>
    </row>
    <row r="45" spans="1:17" x14ac:dyDescent="0.35">
      <c r="A45" s="2" t="s">
        <v>20</v>
      </c>
      <c r="B45" s="2" t="s">
        <v>10</v>
      </c>
      <c r="C45" s="2">
        <v>4</v>
      </c>
      <c r="D45" s="2">
        <v>6</v>
      </c>
      <c r="E45" s="2">
        <f t="shared" si="11"/>
        <v>10</v>
      </c>
      <c r="F45" s="3">
        <f t="shared" si="12"/>
        <v>0.4</v>
      </c>
      <c r="G45" s="3">
        <f t="shared" si="13"/>
        <v>0.6</v>
      </c>
      <c r="H45" s="2">
        <v>4</v>
      </c>
      <c r="I45" s="2">
        <v>6</v>
      </c>
      <c r="J45" s="2">
        <f t="shared" si="14"/>
        <v>10</v>
      </c>
      <c r="K45" s="3">
        <f t="shared" si="15"/>
        <v>0.4</v>
      </c>
      <c r="L45" s="3">
        <f t="shared" si="16"/>
        <v>0.6</v>
      </c>
      <c r="M45" s="3">
        <f t="shared" si="17"/>
        <v>0.6</v>
      </c>
      <c r="N45" s="3">
        <f t="shared" si="18"/>
        <v>0.6</v>
      </c>
      <c r="O45" s="3">
        <f t="shared" si="19"/>
        <v>0</v>
      </c>
      <c r="P45" s="3">
        <f t="shared" si="20"/>
        <v>0.4</v>
      </c>
      <c r="Q45" s="3">
        <f t="shared" si="21"/>
        <v>0.4</v>
      </c>
    </row>
    <row r="46" spans="1:17" x14ac:dyDescent="0.35">
      <c r="A46" s="2" t="s">
        <v>21</v>
      </c>
      <c r="B46" s="2" t="s">
        <v>7</v>
      </c>
      <c r="C46" s="2">
        <v>10</v>
      </c>
      <c r="D46" s="2">
        <v>0</v>
      </c>
      <c r="E46" s="2">
        <f t="shared" si="11"/>
        <v>10</v>
      </c>
      <c r="F46" s="3">
        <f t="shared" si="12"/>
        <v>1</v>
      </c>
      <c r="G46" s="3">
        <f t="shared" si="13"/>
        <v>0</v>
      </c>
      <c r="H46" s="2">
        <v>10</v>
      </c>
      <c r="I46" s="2">
        <v>0</v>
      </c>
      <c r="J46" s="2">
        <f t="shared" si="14"/>
        <v>10</v>
      </c>
      <c r="K46" s="3">
        <f t="shared" si="15"/>
        <v>1</v>
      </c>
      <c r="L46" s="3">
        <f t="shared" si="16"/>
        <v>0</v>
      </c>
      <c r="M46" s="3">
        <f t="shared" si="17"/>
        <v>1</v>
      </c>
      <c r="N46" s="3">
        <f t="shared" si="18"/>
        <v>1</v>
      </c>
      <c r="O46" s="3">
        <f t="shared" si="19"/>
        <v>0</v>
      </c>
      <c r="P46" s="3">
        <f t="shared" si="20"/>
        <v>0</v>
      </c>
      <c r="Q46" s="3">
        <f t="shared" si="21"/>
        <v>0</v>
      </c>
    </row>
    <row r="47" spans="1:17" x14ac:dyDescent="0.35">
      <c r="A47" s="2" t="s">
        <v>21</v>
      </c>
      <c r="B47" s="2" t="s">
        <v>8</v>
      </c>
      <c r="C47" s="2">
        <v>9</v>
      </c>
      <c r="D47" s="2">
        <v>1</v>
      </c>
      <c r="E47" s="2">
        <f t="shared" si="11"/>
        <v>10</v>
      </c>
      <c r="F47" s="3">
        <f t="shared" si="12"/>
        <v>0.9</v>
      </c>
      <c r="G47" s="3">
        <f t="shared" si="13"/>
        <v>0.1</v>
      </c>
      <c r="H47" s="2">
        <v>10</v>
      </c>
      <c r="I47" s="2">
        <v>0</v>
      </c>
      <c r="J47" s="2">
        <f t="shared" si="14"/>
        <v>10</v>
      </c>
      <c r="K47" s="3">
        <f t="shared" si="15"/>
        <v>1</v>
      </c>
      <c r="L47" s="3">
        <f t="shared" si="16"/>
        <v>0</v>
      </c>
      <c r="M47" s="3">
        <f t="shared" si="17"/>
        <v>0.9</v>
      </c>
      <c r="N47" s="3">
        <f t="shared" si="18"/>
        <v>1</v>
      </c>
      <c r="O47" s="3">
        <f t="shared" si="19"/>
        <v>9.9999999999999978E-2</v>
      </c>
      <c r="P47" s="3">
        <f t="shared" si="20"/>
        <v>-9.9999999999999978E-2</v>
      </c>
      <c r="Q47" s="3">
        <f t="shared" si="21"/>
        <v>0</v>
      </c>
    </row>
    <row r="48" spans="1:17" x14ac:dyDescent="0.35">
      <c r="A48" s="2" t="s">
        <v>21</v>
      </c>
      <c r="B48" s="2" t="s">
        <v>9</v>
      </c>
      <c r="C48" s="2">
        <v>4</v>
      </c>
      <c r="D48" s="2">
        <v>6</v>
      </c>
      <c r="E48" s="2">
        <f t="shared" si="11"/>
        <v>10</v>
      </c>
      <c r="F48" s="3">
        <f t="shared" si="12"/>
        <v>0.4</v>
      </c>
      <c r="G48" s="3">
        <f t="shared" si="13"/>
        <v>0.6</v>
      </c>
      <c r="H48" s="2">
        <v>4</v>
      </c>
      <c r="I48" s="2">
        <v>6</v>
      </c>
      <c r="J48" s="2">
        <f t="shared" si="14"/>
        <v>10</v>
      </c>
      <c r="K48" s="3">
        <f t="shared" si="15"/>
        <v>0.4</v>
      </c>
      <c r="L48" s="3">
        <f t="shared" si="16"/>
        <v>0.6</v>
      </c>
      <c r="M48" s="3">
        <f t="shared" si="17"/>
        <v>0.6</v>
      </c>
      <c r="N48" s="3">
        <f t="shared" si="18"/>
        <v>0.6</v>
      </c>
      <c r="O48" s="3">
        <f t="shared" si="19"/>
        <v>0</v>
      </c>
      <c r="P48" s="3">
        <f t="shared" si="20"/>
        <v>-0.6</v>
      </c>
      <c r="Q48" s="3">
        <f t="shared" si="21"/>
        <v>-0.6</v>
      </c>
    </row>
    <row r="49" spans="1:17" x14ac:dyDescent="0.35">
      <c r="A49" s="2" t="s">
        <v>21</v>
      </c>
      <c r="B49" s="2" t="s">
        <v>10</v>
      </c>
      <c r="C49" s="2">
        <v>10</v>
      </c>
      <c r="D49" s="2">
        <v>0</v>
      </c>
      <c r="E49" s="2">
        <f t="shared" si="11"/>
        <v>10</v>
      </c>
      <c r="F49" s="3">
        <f t="shared" si="12"/>
        <v>1</v>
      </c>
      <c r="G49" s="3">
        <f t="shared" si="13"/>
        <v>0</v>
      </c>
      <c r="H49" s="2">
        <v>10</v>
      </c>
      <c r="I49" s="2">
        <v>0</v>
      </c>
      <c r="J49" s="2">
        <f t="shared" si="14"/>
        <v>10</v>
      </c>
      <c r="K49" s="3">
        <f t="shared" si="15"/>
        <v>1</v>
      </c>
      <c r="L49" s="3">
        <f t="shared" si="16"/>
        <v>0</v>
      </c>
      <c r="M49" s="3">
        <f t="shared" si="17"/>
        <v>1</v>
      </c>
      <c r="N49" s="3">
        <f t="shared" si="18"/>
        <v>1</v>
      </c>
      <c r="O49" s="3">
        <f t="shared" si="19"/>
        <v>0</v>
      </c>
      <c r="P49" s="3">
        <f t="shared" si="20"/>
        <v>0</v>
      </c>
      <c r="Q49" s="3">
        <f t="shared" si="21"/>
        <v>0</v>
      </c>
    </row>
    <row r="50" spans="1:17" x14ac:dyDescent="0.35">
      <c r="A50" s="2" t="s">
        <v>22</v>
      </c>
      <c r="B50" s="2" t="s">
        <v>7</v>
      </c>
      <c r="C50" s="2">
        <v>4</v>
      </c>
      <c r="D50" s="2">
        <v>6</v>
      </c>
      <c r="E50" s="2">
        <f t="shared" si="11"/>
        <v>10</v>
      </c>
      <c r="F50" s="3">
        <f t="shared" si="12"/>
        <v>0.4</v>
      </c>
      <c r="G50" s="3">
        <f t="shared" si="13"/>
        <v>0.6</v>
      </c>
      <c r="H50" s="2">
        <v>4</v>
      </c>
      <c r="I50" s="2">
        <v>6</v>
      </c>
      <c r="J50" s="2">
        <f t="shared" si="14"/>
        <v>10</v>
      </c>
      <c r="K50" s="3">
        <f t="shared" si="15"/>
        <v>0.4</v>
      </c>
      <c r="L50" s="3">
        <f t="shared" si="16"/>
        <v>0.6</v>
      </c>
      <c r="M50" s="3">
        <f t="shared" si="17"/>
        <v>0.6</v>
      </c>
      <c r="N50" s="3">
        <f t="shared" si="18"/>
        <v>0.6</v>
      </c>
      <c r="O50" s="3">
        <f t="shared" si="19"/>
        <v>0</v>
      </c>
      <c r="P50" s="3">
        <f t="shared" si="20"/>
        <v>0</v>
      </c>
      <c r="Q50" s="3">
        <f t="shared" si="21"/>
        <v>0</v>
      </c>
    </row>
    <row r="51" spans="1:17" x14ac:dyDescent="0.35">
      <c r="A51" s="2" t="s">
        <v>22</v>
      </c>
      <c r="B51" s="2" t="s">
        <v>8</v>
      </c>
      <c r="C51" s="2">
        <v>1</v>
      </c>
      <c r="D51" s="2">
        <v>9</v>
      </c>
      <c r="E51" s="2">
        <f t="shared" si="11"/>
        <v>10</v>
      </c>
      <c r="F51" s="3">
        <f t="shared" si="12"/>
        <v>0.1</v>
      </c>
      <c r="G51" s="3">
        <f t="shared" si="13"/>
        <v>0.9</v>
      </c>
      <c r="H51" s="2">
        <v>0</v>
      </c>
      <c r="I51" s="2">
        <v>10</v>
      </c>
      <c r="J51" s="2">
        <f t="shared" si="14"/>
        <v>10</v>
      </c>
      <c r="K51" s="3">
        <f t="shared" si="15"/>
        <v>0</v>
      </c>
      <c r="L51" s="3">
        <f t="shared" si="16"/>
        <v>1</v>
      </c>
      <c r="M51" s="3">
        <f t="shared" si="17"/>
        <v>0.9</v>
      </c>
      <c r="N51" s="3">
        <f t="shared" si="18"/>
        <v>1</v>
      </c>
      <c r="O51" s="3">
        <f t="shared" si="19"/>
        <v>9.9999999999999978E-2</v>
      </c>
      <c r="P51" s="3">
        <f t="shared" si="20"/>
        <v>-0.30000000000000004</v>
      </c>
      <c r="Q51" s="3">
        <f t="shared" si="21"/>
        <v>-0.4</v>
      </c>
    </row>
    <row r="52" spans="1:17" x14ac:dyDescent="0.35">
      <c r="A52" s="2" t="s">
        <v>22</v>
      </c>
      <c r="B52" s="2" t="s">
        <v>9</v>
      </c>
      <c r="C52" s="2">
        <v>0</v>
      </c>
      <c r="D52" s="2">
        <v>10</v>
      </c>
      <c r="E52" s="2">
        <f t="shared" si="11"/>
        <v>10</v>
      </c>
      <c r="F52" s="3">
        <f t="shared" si="12"/>
        <v>0</v>
      </c>
      <c r="G52" s="3">
        <f t="shared" si="13"/>
        <v>1</v>
      </c>
      <c r="H52" s="2">
        <v>0</v>
      </c>
      <c r="I52" s="2">
        <v>10</v>
      </c>
      <c r="J52" s="2">
        <f t="shared" si="14"/>
        <v>10</v>
      </c>
      <c r="K52" s="3">
        <f t="shared" si="15"/>
        <v>0</v>
      </c>
      <c r="L52" s="3">
        <f t="shared" si="16"/>
        <v>1</v>
      </c>
      <c r="M52" s="3">
        <f t="shared" si="17"/>
        <v>1</v>
      </c>
      <c r="N52" s="3">
        <f t="shared" si="18"/>
        <v>1</v>
      </c>
      <c r="O52" s="3">
        <f t="shared" si="19"/>
        <v>0</v>
      </c>
      <c r="P52" s="3">
        <f t="shared" si="20"/>
        <v>-0.4</v>
      </c>
      <c r="Q52" s="3">
        <f t="shared" si="21"/>
        <v>-0.4</v>
      </c>
    </row>
    <row r="53" spans="1:17" x14ac:dyDescent="0.35">
      <c r="A53" s="2" t="s">
        <v>22</v>
      </c>
      <c r="B53" s="2" t="s">
        <v>10</v>
      </c>
      <c r="C53" s="2">
        <v>1</v>
      </c>
      <c r="D53" s="2">
        <v>9</v>
      </c>
      <c r="E53" s="2">
        <f t="shared" si="11"/>
        <v>10</v>
      </c>
      <c r="F53" s="3">
        <f t="shared" si="12"/>
        <v>0.1</v>
      </c>
      <c r="G53" s="3">
        <f t="shared" si="13"/>
        <v>0.9</v>
      </c>
      <c r="H53" s="2">
        <v>1</v>
      </c>
      <c r="I53" s="2">
        <v>9</v>
      </c>
      <c r="J53" s="2">
        <f t="shared" si="14"/>
        <v>10</v>
      </c>
      <c r="K53" s="3">
        <f t="shared" si="15"/>
        <v>0.1</v>
      </c>
      <c r="L53" s="3">
        <f t="shared" si="16"/>
        <v>0.9</v>
      </c>
      <c r="M53" s="3">
        <f t="shared" si="17"/>
        <v>0.9</v>
      </c>
      <c r="N53" s="3">
        <f t="shared" si="18"/>
        <v>0.9</v>
      </c>
      <c r="O53" s="3">
        <f t="shared" si="19"/>
        <v>0</v>
      </c>
      <c r="P53" s="3">
        <f t="shared" si="20"/>
        <v>-0.30000000000000004</v>
      </c>
      <c r="Q53" s="3">
        <f t="shared" si="21"/>
        <v>-0.30000000000000004</v>
      </c>
    </row>
    <row r="54" spans="1:17" x14ac:dyDescent="0.35">
      <c r="A54" s="2" t="s">
        <v>23</v>
      </c>
      <c r="B54" s="2" t="s">
        <v>7</v>
      </c>
      <c r="C54" s="2">
        <v>8</v>
      </c>
      <c r="D54" s="2">
        <v>2</v>
      </c>
      <c r="E54" s="2">
        <f t="shared" si="11"/>
        <v>10</v>
      </c>
      <c r="F54" s="3">
        <f t="shared" si="12"/>
        <v>0.8</v>
      </c>
      <c r="G54" s="3">
        <f t="shared" si="13"/>
        <v>0.2</v>
      </c>
      <c r="H54" s="2">
        <v>8</v>
      </c>
      <c r="I54" s="2">
        <v>2</v>
      </c>
      <c r="J54" s="2">
        <f t="shared" si="14"/>
        <v>10</v>
      </c>
      <c r="K54" s="3">
        <f t="shared" si="15"/>
        <v>0.8</v>
      </c>
      <c r="L54" s="3">
        <f t="shared" si="16"/>
        <v>0.2</v>
      </c>
      <c r="M54" s="3">
        <f t="shared" si="17"/>
        <v>0.8</v>
      </c>
      <c r="N54" s="3">
        <f t="shared" si="18"/>
        <v>0.8</v>
      </c>
      <c r="O54" s="3">
        <f t="shared" si="19"/>
        <v>0</v>
      </c>
      <c r="P54" s="3">
        <f t="shared" si="20"/>
        <v>0</v>
      </c>
      <c r="Q54" s="3">
        <f t="shared" si="21"/>
        <v>0</v>
      </c>
    </row>
    <row r="55" spans="1:17" x14ac:dyDescent="0.35">
      <c r="A55" s="2" t="s">
        <v>23</v>
      </c>
      <c r="B55" s="2" t="s">
        <v>8</v>
      </c>
      <c r="C55" s="2">
        <v>10</v>
      </c>
      <c r="D55" s="2">
        <v>0</v>
      </c>
      <c r="E55" s="2">
        <f t="shared" si="11"/>
        <v>10</v>
      </c>
      <c r="F55" s="3">
        <f t="shared" si="12"/>
        <v>1</v>
      </c>
      <c r="G55" s="3">
        <f t="shared" si="13"/>
        <v>0</v>
      </c>
      <c r="H55" s="2">
        <v>10</v>
      </c>
      <c r="I55" s="2">
        <v>0</v>
      </c>
      <c r="J55" s="2">
        <f t="shared" si="14"/>
        <v>10</v>
      </c>
      <c r="K55" s="3">
        <f t="shared" si="15"/>
        <v>1</v>
      </c>
      <c r="L55" s="3">
        <f t="shared" si="16"/>
        <v>0</v>
      </c>
      <c r="M55" s="3">
        <f t="shared" si="17"/>
        <v>1</v>
      </c>
      <c r="N55" s="3">
        <f t="shared" si="18"/>
        <v>1</v>
      </c>
      <c r="O55" s="3">
        <f t="shared" si="19"/>
        <v>0</v>
      </c>
      <c r="P55" s="3">
        <f t="shared" si="20"/>
        <v>0.19999999999999996</v>
      </c>
      <c r="Q55" s="3">
        <f t="shared" si="21"/>
        <v>0.19999999999999996</v>
      </c>
    </row>
    <row r="56" spans="1:17" x14ac:dyDescent="0.35">
      <c r="A56" s="2" t="s">
        <v>23</v>
      </c>
      <c r="B56" s="2" t="s">
        <v>9</v>
      </c>
      <c r="C56" s="2">
        <v>7</v>
      </c>
      <c r="D56" s="2">
        <v>3</v>
      </c>
      <c r="E56" s="2">
        <f t="shared" si="11"/>
        <v>10</v>
      </c>
      <c r="F56" s="3">
        <f t="shared" si="12"/>
        <v>0.7</v>
      </c>
      <c r="G56" s="3">
        <f t="shared" si="13"/>
        <v>0.3</v>
      </c>
      <c r="H56" s="2">
        <v>7</v>
      </c>
      <c r="I56" s="2">
        <v>3</v>
      </c>
      <c r="J56" s="2">
        <f t="shared" si="14"/>
        <v>10</v>
      </c>
      <c r="K56" s="3">
        <f t="shared" si="15"/>
        <v>0.7</v>
      </c>
      <c r="L56" s="3">
        <f t="shared" si="16"/>
        <v>0.3</v>
      </c>
      <c r="M56" s="3">
        <f t="shared" si="17"/>
        <v>0.7</v>
      </c>
      <c r="N56" s="3">
        <f t="shared" si="18"/>
        <v>0.7</v>
      </c>
      <c r="O56" s="3">
        <f t="shared" si="19"/>
        <v>0</v>
      </c>
      <c r="P56" s="3">
        <f t="shared" si="20"/>
        <v>-0.10000000000000009</v>
      </c>
      <c r="Q56" s="3">
        <f t="shared" si="21"/>
        <v>-0.10000000000000009</v>
      </c>
    </row>
    <row r="57" spans="1:17" x14ac:dyDescent="0.35">
      <c r="A57" s="2" t="s">
        <v>23</v>
      </c>
      <c r="B57" s="2" t="s">
        <v>10</v>
      </c>
      <c r="C57" s="2">
        <v>5</v>
      </c>
      <c r="D57" s="2">
        <v>5</v>
      </c>
      <c r="E57" s="2">
        <f t="shared" si="11"/>
        <v>10</v>
      </c>
      <c r="F57" s="3">
        <f t="shared" si="12"/>
        <v>0.5</v>
      </c>
      <c r="G57" s="3">
        <f t="shared" si="13"/>
        <v>0.5</v>
      </c>
      <c r="H57" s="2">
        <v>5</v>
      </c>
      <c r="I57" s="2">
        <v>5</v>
      </c>
      <c r="J57" s="2">
        <f t="shared" si="14"/>
        <v>10</v>
      </c>
      <c r="K57" s="3">
        <f t="shared" si="15"/>
        <v>0.5</v>
      </c>
      <c r="L57" s="3">
        <f t="shared" si="16"/>
        <v>0.5</v>
      </c>
      <c r="M57" s="3">
        <f t="shared" si="17"/>
        <v>0.5</v>
      </c>
      <c r="N57" s="3">
        <f t="shared" si="18"/>
        <v>0.5</v>
      </c>
      <c r="O57" s="3">
        <f t="shared" si="19"/>
        <v>0</v>
      </c>
      <c r="P57" s="3">
        <f t="shared" si="20"/>
        <v>-0.30000000000000004</v>
      </c>
      <c r="Q57" s="3">
        <f t="shared" si="21"/>
        <v>-0.30000000000000004</v>
      </c>
    </row>
    <row r="58" spans="1:17" x14ac:dyDescent="0.35">
      <c r="A58" s="2" t="s">
        <v>24</v>
      </c>
      <c r="B58" s="2" t="s">
        <v>7</v>
      </c>
      <c r="C58" s="2">
        <v>10</v>
      </c>
      <c r="D58" s="2">
        <v>0</v>
      </c>
      <c r="E58" s="2">
        <f t="shared" si="11"/>
        <v>10</v>
      </c>
      <c r="F58" s="3">
        <f t="shared" si="12"/>
        <v>1</v>
      </c>
      <c r="G58" s="3">
        <f t="shared" si="13"/>
        <v>0</v>
      </c>
      <c r="H58" s="2">
        <v>10</v>
      </c>
      <c r="I58" s="2">
        <v>0</v>
      </c>
      <c r="J58" s="2">
        <f t="shared" si="14"/>
        <v>10</v>
      </c>
      <c r="K58" s="3">
        <f t="shared" si="15"/>
        <v>1</v>
      </c>
      <c r="L58" s="3">
        <f t="shared" si="16"/>
        <v>0</v>
      </c>
      <c r="M58" s="3">
        <f t="shared" si="17"/>
        <v>1</v>
      </c>
      <c r="N58" s="3">
        <f t="shared" si="18"/>
        <v>1</v>
      </c>
      <c r="O58" s="3">
        <f t="shared" si="19"/>
        <v>0</v>
      </c>
      <c r="P58" s="3">
        <f t="shared" si="20"/>
        <v>0</v>
      </c>
      <c r="Q58" s="3">
        <f t="shared" si="21"/>
        <v>0</v>
      </c>
    </row>
    <row r="59" spans="1:17" x14ac:dyDescent="0.35">
      <c r="A59" s="2" t="s">
        <v>24</v>
      </c>
      <c r="B59" s="2" t="s">
        <v>8</v>
      </c>
      <c r="C59" s="2">
        <v>10</v>
      </c>
      <c r="D59" s="2">
        <v>0</v>
      </c>
      <c r="E59" s="2">
        <f t="shared" si="11"/>
        <v>10</v>
      </c>
      <c r="F59" s="3">
        <f t="shared" si="12"/>
        <v>1</v>
      </c>
      <c r="G59" s="3">
        <f t="shared" si="13"/>
        <v>0</v>
      </c>
      <c r="H59" s="2">
        <v>10</v>
      </c>
      <c r="I59" s="2">
        <v>0</v>
      </c>
      <c r="J59" s="2">
        <f t="shared" si="14"/>
        <v>10</v>
      </c>
      <c r="K59" s="3">
        <f t="shared" si="15"/>
        <v>1</v>
      </c>
      <c r="L59" s="3">
        <f t="shared" si="16"/>
        <v>0</v>
      </c>
      <c r="M59" s="3">
        <f t="shared" si="17"/>
        <v>1</v>
      </c>
      <c r="N59" s="3">
        <f t="shared" si="18"/>
        <v>1</v>
      </c>
      <c r="O59" s="3">
        <f t="shared" si="19"/>
        <v>0</v>
      </c>
      <c r="P59" s="3">
        <f t="shared" si="20"/>
        <v>0</v>
      </c>
      <c r="Q59" s="3">
        <f t="shared" si="21"/>
        <v>0</v>
      </c>
    </row>
    <row r="60" spans="1:17" x14ac:dyDescent="0.35">
      <c r="A60" s="2" t="s">
        <v>24</v>
      </c>
      <c r="B60" s="2" t="s">
        <v>9</v>
      </c>
      <c r="C60" s="2">
        <v>10</v>
      </c>
      <c r="D60" s="2">
        <v>0</v>
      </c>
      <c r="E60" s="2">
        <f t="shared" si="11"/>
        <v>10</v>
      </c>
      <c r="F60" s="3">
        <f t="shared" si="12"/>
        <v>1</v>
      </c>
      <c r="G60" s="3">
        <f t="shared" si="13"/>
        <v>0</v>
      </c>
      <c r="H60" s="2">
        <v>10</v>
      </c>
      <c r="I60" s="2">
        <v>0</v>
      </c>
      <c r="J60" s="2">
        <f t="shared" si="14"/>
        <v>10</v>
      </c>
      <c r="K60" s="3">
        <f t="shared" si="15"/>
        <v>1</v>
      </c>
      <c r="L60" s="3">
        <f t="shared" si="16"/>
        <v>0</v>
      </c>
      <c r="M60" s="3">
        <f t="shared" si="17"/>
        <v>1</v>
      </c>
      <c r="N60" s="3">
        <f t="shared" si="18"/>
        <v>1</v>
      </c>
      <c r="O60" s="3">
        <f t="shared" si="19"/>
        <v>0</v>
      </c>
      <c r="P60" s="3">
        <f t="shared" si="20"/>
        <v>0</v>
      </c>
      <c r="Q60" s="3">
        <f t="shared" si="21"/>
        <v>0</v>
      </c>
    </row>
    <row r="61" spans="1:17" x14ac:dyDescent="0.35">
      <c r="A61" s="2" t="s">
        <v>24</v>
      </c>
      <c r="B61" s="2" t="s">
        <v>10</v>
      </c>
      <c r="C61" s="2">
        <v>10</v>
      </c>
      <c r="D61" s="2">
        <v>0</v>
      </c>
      <c r="E61" s="2">
        <f t="shared" si="11"/>
        <v>10</v>
      </c>
      <c r="F61" s="3">
        <f t="shared" si="12"/>
        <v>1</v>
      </c>
      <c r="G61" s="3">
        <f t="shared" si="13"/>
        <v>0</v>
      </c>
      <c r="H61" s="2">
        <v>10</v>
      </c>
      <c r="I61" s="2">
        <v>0</v>
      </c>
      <c r="J61" s="2">
        <f t="shared" si="14"/>
        <v>10</v>
      </c>
      <c r="K61" s="3">
        <f t="shared" si="15"/>
        <v>1</v>
      </c>
      <c r="L61" s="3">
        <f t="shared" si="16"/>
        <v>0</v>
      </c>
      <c r="M61" s="3">
        <f t="shared" si="17"/>
        <v>1</v>
      </c>
      <c r="N61" s="3">
        <f t="shared" si="18"/>
        <v>1</v>
      </c>
      <c r="O61" s="3">
        <f t="shared" si="19"/>
        <v>0</v>
      </c>
      <c r="P61" s="3">
        <f t="shared" si="20"/>
        <v>0</v>
      </c>
      <c r="Q61" s="3">
        <f t="shared" si="2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
  <sheetViews>
    <sheetView tabSelected="1" zoomScale="87" workbookViewId="0">
      <selection activeCell="I7" sqref="I7"/>
    </sheetView>
  </sheetViews>
  <sheetFormatPr defaultRowHeight="14.5" x14ac:dyDescent="0.35"/>
  <cols>
    <col min="1" max="1" width="10" customWidth="1"/>
    <col min="2" max="2" width="16" customWidth="1"/>
    <col min="3" max="3" width="15" customWidth="1"/>
    <col min="4" max="4" width="20" customWidth="1"/>
    <col min="5" max="6" width="18" customWidth="1"/>
    <col min="7" max="7" width="16" customWidth="1"/>
    <col min="8" max="8" width="18" customWidth="1"/>
    <col min="9" max="9" width="14.08984375" customWidth="1"/>
    <col min="10" max="10" width="13.6328125" customWidth="1"/>
    <col min="11" max="11" width="16.7265625" customWidth="1"/>
    <col min="12" max="12" width="17" customWidth="1"/>
  </cols>
  <sheetData>
    <row r="1" spans="1:12" ht="30" customHeight="1" x14ac:dyDescent="0.35">
      <c r="A1" s="1" t="s">
        <v>1</v>
      </c>
      <c r="B1" s="1" t="s">
        <v>25</v>
      </c>
      <c r="C1" s="1" t="s">
        <v>26</v>
      </c>
      <c r="D1" s="1" t="s">
        <v>54</v>
      </c>
      <c r="E1" s="1" t="s">
        <v>55</v>
      </c>
      <c r="F1" s="1" t="s">
        <v>56</v>
      </c>
      <c r="G1" s="1" t="s">
        <v>57</v>
      </c>
      <c r="H1" s="1" t="s">
        <v>58</v>
      </c>
      <c r="I1" s="1" t="s">
        <v>27</v>
      </c>
      <c r="J1" s="1" t="s">
        <v>28</v>
      </c>
      <c r="K1" s="1" t="s">
        <v>29</v>
      </c>
      <c r="L1" s="1" t="s">
        <v>30</v>
      </c>
    </row>
    <row r="2" spans="1:12" x14ac:dyDescent="0.35">
      <c r="A2" s="2" t="s">
        <v>7</v>
      </c>
      <c r="B2" s="3">
        <f>AVERAGEIF(Dettaglio!$B$2:$B$61,A2,Dettaglio!$F$2:$F$61)</f>
        <v>0.7</v>
      </c>
      <c r="C2" s="3">
        <f>AVERAGEIF(Dettaglio!$B$2:$B$61,A2,Dettaglio!$K$2:$K$61)</f>
        <v>0.71333333333333337</v>
      </c>
      <c r="D2" s="3">
        <f>AVERAGEIF(Dettaglio!$B$2:$B$61,A2,Dettaglio!$P$2:$P$61)</f>
        <v>0</v>
      </c>
      <c r="E2" s="3">
        <f>AVERAGEIF(Dettaglio!$B$2:$B$61,A2,Dettaglio!$Q$2:$Q$61)</f>
        <v>0</v>
      </c>
      <c r="F2" s="3">
        <f>AVERAGEIF(Dettaglio!$B$2:$B$61,A2,Dettaglio!$M$2:$M$61)</f>
        <v>0.83333333333333337</v>
      </c>
      <c r="G2" s="3">
        <f>AVERAGEIF(Dettaglio!$B$2:$B$61,A2,Dettaglio!$N$2:$N$61)</f>
        <v>0.83333333333333337</v>
      </c>
      <c r="H2" s="3">
        <f>G2-F2</f>
        <v>0</v>
      </c>
      <c r="I2" s="3">
        <f>SQRT(SUMPRODUCT((Dettaglio!$B$2:$B$61=A2)*(Dettaglio!$F$2:$F$61-B2)^2)/(COUNTIF(Dettaglio!$B$2:$B$61,A2)-1))</f>
        <v>0.33166247903553997</v>
      </c>
      <c r="J2" s="3">
        <f>SQRT(SUMPRODUCT((Dettaglio!$B$2:$B$61=A2)*(Dettaglio!$K$2:$K$61-C2)^2)/(COUNTIF(Dettaglio!$B$2:$B$61,A2)-1))</f>
        <v>0.32921262488086989</v>
      </c>
      <c r="K2" s="3">
        <f>SQRT(SUMPRODUCT((Dettaglio!$B$2:$B$61=A2)*(Dettaglio!$P$2:$P$61-D2)^2)/(COUNTIF(Dettaglio!$B$2:$B$61,A2)-1))</f>
        <v>0</v>
      </c>
      <c r="L2" s="3">
        <f>SQRT(SUMPRODUCT((Dettaglio!$B$2:$B$61=A2)*(Dettaglio!$Q$2:$Q$61-E2)^2)/(COUNTIF(Dettaglio!$B$2:$B$61,A2)-1))</f>
        <v>0</v>
      </c>
    </row>
    <row r="3" spans="1:12" x14ac:dyDescent="0.35">
      <c r="A3" s="2" t="s">
        <v>8</v>
      </c>
      <c r="B3" s="3">
        <f>AVERAGEIF(Dettaglio!$B$2:$B$61,A3,Dettaglio!$F$2:$F$61)</f>
        <v>0.73333333333333328</v>
      </c>
      <c r="C3" s="3">
        <f>AVERAGEIF(Dettaglio!$B$2:$B$61,A3,Dettaglio!$K$2:$K$61)</f>
        <v>0.73333333333333328</v>
      </c>
      <c r="D3" s="3">
        <f>AVERAGEIF(Dettaglio!$B$2:$B$61,A3,Dettaglio!$P$2:$P$61)</f>
        <v>3.333333333333334E-2</v>
      </c>
      <c r="E3" s="3">
        <f>AVERAGEIF(Dettaglio!$B$2:$B$61,A3,Dettaglio!$Q$2:$Q$61)</f>
        <v>2.0000000000000004E-2</v>
      </c>
      <c r="F3" s="3">
        <f>AVERAGEIF(Dettaglio!$B$2:$B$61,A3,Dettaglio!$M$2:$M$61)</f>
        <v>0.89333333333333331</v>
      </c>
      <c r="G3" s="3">
        <f>AVERAGEIF(Dettaglio!$B$2:$B$61,A3,Dettaglio!$N$2:$N$61)</f>
        <v>0.90666666666666662</v>
      </c>
      <c r="H3" s="3">
        <f>G3-F3</f>
        <v>1.3333333333333308E-2</v>
      </c>
      <c r="I3" s="3">
        <f>SQRT(SUMPRODUCT((Dettaglio!$B$2:$B$61=A3)*(Dettaglio!$F$2:$F$61-B3)^2)/(COUNTIF(Dettaglio!$B$2:$B$61,A3)-1))</f>
        <v>0.36579984118302161</v>
      </c>
      <c r="J3" s="3">
        <f>SQRT(SUMPRODUCT((Dettaglio!$B$2:$B$61=A3)*(Dettaglio!$K$2:$K$61-C3)^2)/(COUNTIF(Dettaglio!$B$2:$B$61,A3)-1))</f>
        <v>0.38297084310253526</v>
      </c>
      <c r="K3" s="3">
        <f>SQRT(SUMPRODUCT((Dettaglio!$B$2:$B$61=A3)*(Dettaglio!$P$2:$P$61-D3)^2)/(COUNTIF(Dettaglio!$B$2:$B$61,A3)-1))</f>
        <v>0.27945525240230873</v>
      </c>
      <c r="L3" s="3">
        <f>SQRT(SUMPRODUCT((Dettaglio!$B$2:$B$61=A3)*(Dettaglio!$Q$2:$Q$61-E3)^2)/(COUNTIF(Dettaglio!$B$2:$B$61,A3)-1))</f>
        <v>0.29568322818274867</v>
      </c>
    </row>
    <row r="4" spans="1:12" x14ac:dyDescent="0.35">
      <c r="A4" s="2" t="s">
        <v>9</v>
      </c>
      <c r="B4" s="3">
        <f>AVERAGEIF(Dettaglio!$B$2:$B$61,A4,Dettaglio!$F$2:$F$61)</f>
        <v>0.62666666666666671</v>
      </c>
      <c r="C4" s="3">
        <f>AVERAGEIF(Dettaglio!$B$2:$B$61,A4,Dettaglio!$K$2:$K$61)</f>
        <v>0.64</v>
      </c>
      <c r="D4" s="3">
        <f>AVERAGEIF(Dettaglio!$B$2:$B$61,A4,Dettaglio!$P$2:$P$61)</f>
        <v>-7.3333333333333334E-2</v>
      </c>
      <c r="E4" s="3">
        <f>AVERAGEIF(Dettaglio!$B$2:$B$61,A4,Dettaglio!$Q$2:$Q$61)</f>
        <v>-7.3333333333333334E-2</v>
      </c>
      <c r="F4" s="3">
        <f>AVERAGEIF(Dettaglio!$B$2:$B$61,A4,Dettaglio!$M$2:$M$61)</f>
        <v>0.82666666666666655</v>
      </c>
      <c r="G4" s="3">
        <f>AVERAGEIF(Dettaglio!$B$2:$B$61,A4,Dettaglio!$N$2:$N$61)</f>
        <v>0.82666666666666655</v>
      </c>
      <c r="H4" s="3">
        <f>G4-F4</f>
        <v>0</v>
      </c>
      <c r="I4" s="3">
        <f>SQRT(SUMPRODUCT((Dettaglio!$B$2:$B$61=A4)*(Dettaglio!$F$2:$F$61-B4)^2)/(COUNTIF(Dettaglio!$B$2:$B$61,A4)-1))</f>
        <v>0.35949700310029742</v>
      </c>
      <c r="J4" s="3">
        <f>SQRT(SUMPRODUCT((Dettaglio!$B$2:$B$61=A4)*(Dettaglio!$K$2:$K$61-C4)^2)/(COUNTIF(Dettaglio!$B$2:$B$61,A4)-1))</f>
        <v>0.35415896350166182</v>
      </c>
      <c r="K4" s="3">
        <f>SQRT(SUMPRODUCT((Dettaglio!$B$2:$B$61=A4)*(Dettaglio!$P$2:$P$61-D4)^2)/(COUNTIF(Dettaglio!$B$2:$B$61,A4)-1))</f>
        <v>0.23441924185608343</v>
      </c>
      <c r="L4" s="3">
        <f>SQRT(SUMPRODUCT((Dettaglio!$B$2:$B$61=A4)*(Dettaglio!$Q$2:$Q$61-E4)^2)/(COUNTIF(Dettaglio!$B$2:$B$61,A4)-1))</f>
        <v>0.22824381283013587</v>
      </c>
    </row>
    <row r="5" spans="1:12" x14ac:dyDescent="0.35">
      <c r="A5" s="2" t="s">
        <v>10</v>
      </c>
      <c r="B5" s="3">
        <f>AVERAGEIF(Dettaglio!$B$2:$B$61,A5,Dettaglio!$F$2:$F$61)</f>
        <v>0.7</v>
      </c>
      <c r="C5" s="3">
        <f>AVERAGEIF(Dettaglio!$B$2:$B$61,A5,Dettaglio!$K$2:$K$61)</f>
        <v>0.70666666666666667</v>
      </c>
      <c r="D5" s="3">
        <f>AVERAGEIF(Dettaglio!$B$2:$B$61,A5,Dettaglio!$P$2:$P$61)</f>
        <v>0</v>
      </c>
      <c r="E5" s="3">
        <f>AVERAGEIF(Dettaglio!$B$2:$B$61,A5,Dettaglio!$Q$2:$Q$61)</f>
        <v>-6.6666666666666723E-3</v>
      </c>
      <c r="F5" s="3">
        <f>AVERAGEIF(Dettaglio!$B$2:$B$61,A5,Dettaglio!$M$2:$M$61)</f>
        <v>0.80666666666666664</v>
      </c>
      <c r="G5" s="3">
        <f>AVERAGEIF(Dettaglio!$B$2:$B$61,A5,Dettaglio!$N$2:$N$61)</f>
        <v>0.81333333333333324</v>
      </c>
      <c r="H5" s="3">
        <f>G5-F5</f>
        <v>6.6666666666665986E-3</v>
      </c>
      <c r="I5" s="3">
        <f>SQRT(SUMPRODUCT((Dettaglio!$B$2:$B$61=A5)*(Dettaglio!$F$2:$F$61-B5)^2)/(COUNTIF(Dettaglio!$B$2:$B$61,A5)-1))</f>
        <v>0.31167748898959186</v>
      </c>
      <c r="J5" s="3">
        <f>SQRT(SUMPRODUCT((Dettaglio!$B$2:$B$61=A5)*(Dettaglio!$K$2:$K$61-C5)^2)/(COUNTIF(Dettaglio!$B$2:$B$61,A5)-1))</f>
        <v>0.31728010758108788</v>
      </c>
      <c r="K5" s="3">
        <f>SQRT(SUMPRODUCT((Dettaglio!$B$2:$B$61=A5)*(Dettaglio!$P$2:$P$61-D5)^2)/(COUNTIF(Dettaglio!$B$2:$B$61,A5)-1))</f>
        <v>0.23299294900428699</v>
      </c>
      <c r="L5" s="3">
        <f>SQRT(SUMPRODUCT((Dettaglio!$B$2:$B$61=A5)*(Dettaglio!$Q$2:$Q$61-E5)^2)/(COUNTIF(Dettaglio!$B$2:$B$61,A5)-1))</f>
        <v>0.22824381283013587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B21" sqref="B21"/>
    </sheetView>
  </sheetViews>
  <sheetFormatPr defaultRowHeight="14.5" x14ac:dyDescent="0.35"/>
  <cols>
    <col min="1" max="1" width="28" customWidth="1"/>
    <col min="2" max="2" width="100" customWidth="1"/>
  </cols>
  <sheetData>
    <row r="1" spans="1:2" x14ac:dyDescent="0.35">
      <c r="A1" s="4" t="s">
        <v>31</v>
      </c>
      <c r="B1" s="4" t="s">
        <v>32</v>
      </c>
    </row>
    <row r="2" spans="1:2" ht="45" customHeight="1" x14ac:dyDescent="0.35">
      <c r="A2" s="5" t="s">
        <v>33</v>
      </c>
      <c r="B2" s="6" t="s">
        <v>34</v>
      </c>
    </row>
    <row r="3" spans="1:2" ht="45" customHeight="1" x14ac:dyDescent="0.35">
      <c r="A3" s="5" t="s">
        <v>35</v>
      </c>
      <c r="B3" s="6" t="s">
        <v>36</v>
      </c>
    </row>
    <row r="4" spans="1:2" ht="45" customHeight="1" x14ac:dyDescent="0.35">
      <c r="A4" s="5" t="s">
        <v>37</v>
      </c>
      <c r="B4" s="6" t="s">
        <v>38</v>
      </c>
    </row>
    <row r="5" spans="1:2" ht="45" customHeight="1" x14ac:dyDescent="0.35">
      <c r="A5" s="5" t="s">
        <v>39</v>
      </c>
      <c r="B5" s="6" t="s">
        <v>40</v>
      </c>
    </row>
    <row r="6" spans="1:2" ht="45" customHeight="1" x14ac:dyDescent="0.35">
      <c r="A6" s="5" t="s">
        <v>41</v>
      </c>
      <c r="B6" s="6"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Dettaglio</vt:lpstr>
      <vt:lpstr>Aggregato per condizione</vt:lpstr>
      <vt:lpstr>Note metodologiche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Ilaria Nembrini</cp:lastModifiedBy>
  <dcterms:created xsi:type="dcterms:W3CDTF">2026-08-20T09:38:04Z</dcterms:created>
  <dcterms:modified xsi:type="dcterms:W3CDTF">2026-08-21T13:24:18Z</dcterms:modified>
</cp:coreProperties>
</file>